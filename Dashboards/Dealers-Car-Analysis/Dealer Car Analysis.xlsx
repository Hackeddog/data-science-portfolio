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fmelamsin\Downloads\"/>
    </mc:Choice>
  </mc:AlternateContent>
  <xr:revisionPtr revIDLastSave="0" documentId="13_ncr:1_{DEF261E8-A3F7-416B-9022-D7C17971921C}" xr6:coauthVersionLast="36" xr6:coauthVersionMax="47" xr10:uidLastSave="{00000000-0000-0000-0000-000000000000}"/>
  <bookViews>
    <workbookView xWindow="0" yWindow="0" windowWidth="28800" windowHeight="12105" activeTab="6" xr2:uid="{55174C0C-28B8-4605-BF79-011D08A10438}"/>
  </bookViews>
  <sheets>
    <sheet name="Dealers" sheetId="2" r:id="rId1"/>
    <sheet name="Models" sheetId="3" r:id="rId2"/>
    <sheet name="Sales" sheetId="4" r:id="rId3"/>
    <sheet name="Number1" sheetId="15" r:id="rId4"/>
    <sheet name="Number 2" sheetId="20" r:id="rId5"/>
    <sheet name="Number 3" sheetId="19" r:id="rId6"/>
    <sheet name="Number 4" sheetId="16" r:id="rId7"/>
  </sheets>
  <calcPr calcId="191029"/>
  <pivotCaches>
    <pivotCache cacheId="0" r:id="rId8"/>
    <pivotCache cacheId="1" r:id="rId9"/>
    <pivotCache cacheId="3" r:id="rId1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3" l="1"/>
  <c r="H16" i="3"/>
  <c r="H14" i="3"/>
  <c r="H13" i="3"/>
  <c r="H11" i="3"/>
  <c r="H10" i="3"/>
  <c r="H9" i="3"/>
  <c r="H8" i="3"/>
  <c r="H7" i="3"/>
  <c r="H6" i="3"/>
  <c r="H5" i="3"/>
  <c r="H3" i="3"/>
  <c r="H15" i="3"/>
  <c r="H12" i="3"/>
  <c r="H2" i="3"/>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 i="4"/>
  <c r="D2" i="4"/>
  <c r="J2" i="4" s="1"/>
  <c r="D3" i="4"/>
  <c r="J3" i="4" s="1"/>
  <c r="D4" i="4"/>
  <c r="J4" i="4" s="1"/>
  <c r="D5" i="4"/>
  <c r="J5" i="4" s="1"/>
  <c r="D6" i="4"/>
  <c r="J6" i="4" s="1"/>
  <c r="D7" i="4"/>
  <c r="J7" i="4" s="1"/>
  <c r="D8" i="4"/>
  <c r="J8" i="4" s="1"/>
  <c r="D9" i="4"/>
  <c r="J9" i="4" s="1"/>
  <c r="D10" i="4"/>
  <c r="J10" i="4" s="1"/>
  <c r="D11" i="4"/>
  <c r="J11" i="4" s="1"/>
  <c r="D12" i="4"/>
  <c r="J12" i="4" s="1"/>
  <c r="D13" i="4"/>
  <c r="J13" i="4" s="1"/>
  <c r="D14" i="4"/>
  <c r="J14" i="4" s="1"/>
  <c r="D15" i="4"/>
  <c r="J15" i="4" s="1"/>
  <c r="D16" i="4"/>
  <c r="J16" i="4" s="1"/>
  <c r="D17" i="4"/>
  <c r="J17" i="4" s="1"/>
  <c r="D18" i="4"/>
  <c r="J18" i="4" s="1"/>
  <c r="D19" i="4"/>
  <c r="J19" i="4" s="1"/>
  <c r="D20" i="4"/>
  <c r="J20" i="4" s="1"/>
  <c r="D21" i="4"/>
  <c r="J21" i="4" s="1"/>
  <c r="D22" i="4"/>
  <c r="J22" i="4" s="1"/>
  <c r="D23" i="4"/>
  <c r="J23" i="4" s="1"/>
  <c r="D24" i="4"/>
  <c r="J24" i="4" s="1"/>
  <c r="D25" i="4"/>
  <c r="J25" i="4" s="1"/>
  <c r="D26" i="4"/>
  <c r="J26" i="4" s="1"/>
  <c r="D27" i="4"/>
  <c r="J27" i="4" s="1"/>
  <c r="D28" i="4"/>
  <c r="J28" i="4" s="1"/>
  <c r="D29" i="4"/>
  <c r="J29" i="4" s="1"/>
  <c r="D30" i="4"/>
  <c r="J30" i="4" s="1"/>
  <c r="D31" i="4"/>
  <c r="J31" i="4" s="1"/>
  <c r="D32" i="4"/>
  <c r="J32" i="4" s="1"/>
  <c r="D33" i="4"/>
  <c r="J33" i="4" s="1"/>
  <c r="D34" i="4"/>
  <c r="J34" i="4" s="1"/>
  <c r="D35" i="4"/>
  <c r="J35" i="4" s="1"/>
  <c r="D36" i="4"/>
  <c r="J36" i="4" s="1"/>
  <c r="D37" i="4"/>
  <c r="J37" i="4" s="1"/>
  <c r="D38" i="4"/>
  <c r="J38" i="4" s="1"/>
  <c r="D39" i="4"/>
  <c r="J39" i="4" s="1"/>
  <c r="D40" i="4"/>
  <c r="J40" i="4" s="1"/>
  <c r="D41" i="4"/>
  <c r="J41" i="4" s="1"/>
  <c r="D42" i="4"/>
  <c r="J42" i="4" s="1"/>
  <c r="D43" i="4"/>
  <c r="J43" i="4" s="1"/>
  <c r="D44" i="4"/>
  <c r="J44" i="4" s="1"/>
  <c r="D45" i="4"/>
  <c r="J45" i="4" s="1"/>
  <c r="D46" i="4"/>
  <c r="J46" i="4" s="1"/>
  <c r="D47" i="4"/>
  <c r="J47" i="4" s="1"/>
  <c r="D48" i="4"/>
  <c r="J48" i="4" s="1"/>
  <c r="D49" i="4"/>
  <c r="J49" i="4" s="1"/>
  <c r="D50" i="4"/>
  <c r="J50" i="4" s="1"/>
  <c r="D51" i="4"/>
  <c r="J51" i="4" s="1"/>
  <c r="D52" i="4"/>
  <c r="J52" i="4" s="1"/>
  <c r="D53" i="4"/>
  <c r="J53" i="4" s="1"/>
  <c r="D54" i="4"/>
  <c r="J54" i="4" s="1"/>
  <c r="D55" i="4"/>
  <c r="J55" i="4" s="1"/>
  <c r="D56" i="4"/>
  <c r="J56" i="4" s="1"/>
  <c r="D57" i="4"/>
  <c r="J57" i="4" s="1"/>
  <c r="D58" i="4"/>
  <c r="J58" i="4" s="1"/>
  <c r="D59" i="4"/>
  <c r="J59" i="4" s="1"/>
  <c r="D60" i="4"/>
  <c r="J60" i="4" s="1"/>
  <c r="D61" i="4"/>
  <c r="J61" i="4" s="1"/>
  <c r="D62" i="4"/>
  <c r="J62" i="4" s="1"/>
  <c r="D63" i="4"/>
  <c r="J63" i="4" s="1"/>
  <c r="D64" i="4"/>
  <c r="J64" i="4" s="1"/>
  <c r="D65" i="4"/>
  <c r="J65" i="4" s="1"/>
  <c r="D66" i="4"/>
  <c r="J66" i="4" s="1"/>
  <c r="D67" i="4"/>
  <c r="J67" i="4" s="1"/>
  <c r="D68" i="4"/>
  <c r="J68" i="4" s="1"/>
  <c r="D69" i="4"/>
  <c r="J69" i="4" s="1"/>
  <c r="D70" i="4"/>
  <c r="J70" i="4" s="1"/>
  <c r="D71" i="4"/>
  <c r="J71" i="4" s="1"/>
  <c r="D72" i="4"/>
  <c r="J72" i="4" s="1"/>
  <c r="D73" i="4"/>
  <c r="J73" i="4" s="1"/>
  <c r="D74" i="4"/>
  <c r="J74" i="4" s="1"/>
  <c r="D75" i="4"/>
  <c r="J75" i="4" s="1"/>
  <c r="D76" i="4"/>
  <c r="J76" i="4" s="1"/>
  <c r="D77" i="4"/>
  <c r="J77" i="4" s="1"/>
  <c r="D78" i="4"/>
  <c r="J78" i="4" s="1"/>
  <c r="D79" i="4"/>
  <c r="J79" i="4" s="1"/>
  <c r="D80" i="4"/>
  <c r="J80" i="4" s="1"/>
  <c r="D81" i="4"/>
  <c r="J81" i="4" s="1"/>
  <c r="D82" i="4"/>
  <c r="J82" i="4" s="1"/>
  <c r="D83" i="4"/>
  <c r="J83" i="4" s="1"/>
  <c r="D84" i="4"/>
  <c r="J84" i="4" s="1"/>
  <c r="D85" i="4"/>
  <c r="J85" i="4" s="1"/>
  <c r="D86" i="4"/>
  <c r="J86" i="4" s="1"/>
  <c r="D87" i="4"/>
  <c r="J87" i="4" s="1"/>
  <c r="D88" i="4"/>
  <c r="J88" i="4" s="1"/>
  <c r="D89" i="4"/>
  <c r="J89" i="4" s="1"/>
  <c r="D90" i="4"/>
  <c r="J90" i="4" s="1"/>
  <c r="D91" i="4"/>
  <c r="J91" i="4" s="1"/>
  <c r="D92" i="4"/>
  <c r="J92" i="4" s="1"/>
  <c r="D93" i="4"/>
  <c r="J93" i="4" s="1"/>
  <c r="D94" i="4"/>
  <c r="J94" i="4" s="1"/>
  <c r="D95" i="4"/>
  <c r="J95" i="4" s="1"/>
  <c r="D96" i="4"/>
  <c r="J96" i="4" s="1"/>
  <c r="D97" i="4"/>
  <c r="J97" i="4" s="1"/>
  <c r="D98" i="4"/>
  <c r="J98" i="4" s="1"/>
  <c r="D99" i="4"/>
  <c r="J99" i="4" s="1"/>
  <c r="D100" i="4"/>
  <c r="J100" i="4" s="1"/>
  <c r="D101" i="4"/>
  <c r="J101" i="4" s="1"/>
  <c r="D102" i="4"/>
  <c r="J102" i="4" s="1"/>
  <c r="D103" i="4"/>
  <c r="J103" i="4" s="1"/>
  <c r="D104" i="4"/>
  <c r="J104" i="4" s="1"/>
  <c r="D105" i="4"/>
  <c r="J105" i="4" s="1"/>
  <c r="D106" i="4"/>
  <c r="J106" i="4" s="1"/>
  <c r="D107" i="4"/>
  <c r="J107" i="4" s="1"/>
  <c r="D108" i="4"/>
  <c r="J108" i="4" s="1"/>
  <c r="D109" i="4"/>
  <c r="J109" i="4" s="1"/>
  <c r="D110" i="4"/>
  <c r="J110" i="4" s="1"/>
  <c r="D111" i="4"/>
  <c r="J111" i="4" s="1"/>
  <c r="D112" i="4"/>
  <c r="J112" i="4" s="1"/>
  <c r="D113" i="4"/>
  <c r="J113" i="4" s="1"/>
  <c r="D114" i="4"/>
  <c r="J114" i="4" s="1"/>
  <c r="D115" i="4"/>
  <c r="J115" i="4" s="1"/>
  <c r="D116" i="4"/>
  <c r="J116" i="4" s="1"/>
  <c r="D117" i="4"/>
  <c r="J117" i="4" s="1"/>
  <c r="D118" i="4"/>
  <c r="J118" i="4" s="1"/>
  <c r="D119" i="4"/>
  <c r="J119" i="4" s="1"/>
  <c r="D120" i="4"/>
  <c r="J120" i="4" s="1"/>
  <c r="D121" i="4"/>
  <c r="J121" i="4" s="1"/>
  <c r="D122" i="4"/>
  <c r="J122" i="4" s="1"/>
  <c r="D123" i="4"/>
  <c r="J123" i="4" s="1"/>
  <c r="D124" i="4"/>
  <c r="J124" i="4" s="1"/>
  <c r="D125" i="4"/>
  <c r="J125" i="4" s="1"/>
  <c r="D126" i="4"/>
  <c r="J126" i="4" s="1"/>
  <c r="D127" i="4"/>
  <c r="J127" i="4" s="1"/>
  <c r="D128" i="4"/>
  <c r="J128" i="4" s="1"/>
  <c r="D129" i="4"/>
  <c r="J129" i="4" s="1"/>
  <c r="D130" i="4"/>
  <c r="J130" i="4" s="1"/>
  <c r="D131" i="4"/>
  <c r="J131" i="4" s="1"/>
  <c r="D132" i="4"/>
  <c r="J132" i="4" s="1"/>
  <c r="D133" i="4"/>
  <c r="J133" i="4" s="1"/>
  <c r="D134" i="4"/>
  <c r="J134" i="4" s="1"/>
  <c r="D135" i="4"/>
  <c r="J135" i="4" s="1"/>
  <c r="D136" i="4"/>
  <c r="J136" i="4" s="1"/>
  <c r="D137" i="4"/>
  <c r="J137" i="4" s="1"/>
  <c r="D138" i="4"/>
  <c r="J138" i="4" s="1"/>
  <c r="D139" i="4"/>
  <c r="J139" i="4" s="1"/>
  <c r="D140" i="4"/>
  <c r="J140" i="4" s="1"/>
  <c r="D141" i="4"/>
  <c r="J141" i="4" s="1"/>
  <c r="D142" i="4"/>
  <c r="J142" i="4" s="1"/>
  <c r="D143" i="4"/>
  <c r="J143" i="4" s="1"/>
  <c r="D144" i="4"/>
  <c r="J144" i="4" s="1"/>
  <c r="D145" i="4"/>
  <c r="J145" i="4" s="1"/>
  <c r="D146" i="4"/>
  <c r="J146" i="4" s="1"/>
  <c r="D147" i="4"/>
  <c r="J147" i="4" s="1"/>
  <c r="D148" i="4"/>
  <c r="J148" i="4" s="1"/>
  <c r="D149" i="4"/>
  <c r="J149" i="4" s="1"/>
  <c r="D150" i="4"/>
  <c r="J150" i="4" s="1"/>
  <c r="D151" i="4"/>
  <c r="J151" i="4" s="1"/>
  <c r="D152" i="4"/>
  <c r="J152" i="4" s="1"/>
  <c r="D153" i="4"/>
  <c r="J153" i="4" s="1"/>
  <c r="D154" i="4"/>
  <c r="J154" i="4" s="1"/>
  <c r="D155" i="4"/>
  <c r="J155" i="4" s="1"/>
  <c r="D156" i="4"/>
  <c r="J156" i="4" s="1"/>
  <c r="D157" i="4"/>
  <c r="J157" i="4" s="1"/>
  <c r="D158" i="4"/>
  <c r="J158" i="4" s="1"/>
  <c r="D159" i="4"/>
  <c r="J159" i="4" s="1"/>
  <c r="D160" i="4"/>
  <c r="J160" i="4" s="1"/>
  <c r="D161" i="4"/>
  <c r="J161" i="4" s="1"/>
  <c r="D162" i="4"/>
  <c r="J162" i="4" s="1"/>
  <c r="D163" i="4"/>
  <c r="J163" i="4" s="1"/>
  <c r="D164" i="4"/>
  <c r="J164" i="4" s="1"/>
  <c r="D165" i="4"/>
  <c r="J165" i="4" s="1"/>
  <c r="D166" i="4"/>
  <c r="J166" i="4" s="1"/>
  <c r="D167" i="4"/>
  <c r="J167" i="4" s="1"/>
  <c r="D168" i="4"/>
  <c r="J168" i="4" s="1"/>
  <c r="D169" i="4"/>
  <c r="J169" i="4" s="1"/>
  <c r="D170" i="4"/>
  <c r="J170" i="4" s="1"/>
  <c r="D171" i="4"/>
  <c r="J171" i="4" s="1"/>
  <c r="D172" i="4"/>
  <c r="J172" i="4" s="1"/>
  <c r="D173" i="4"/>
  <c r="J173" i="4" s="1"/>
  <c r="D174" i="4"/>
  <c r="J174" i="4" s="1"/>
  <c r="D175" i="4"/>
  <c r="J175" i="4" s="1"/>
  <c r="D176" i="4"/>
  <c r="J176" i="4" s="1"/>
  <c r="D177" i="4"/>
  <c r="J177" i="4" s="1"/>
  <c r="D178" i="4"/>
  <c r="J178" i="4" s="1"/>
  <c r="D179" i="4"/>
  <c r="J179" i="4" s="1"/>
  <c r="D180" i="4"/>
  <c r="J180" i="4" s="1"/>
  <c r="D181" i="4"/>
  <c r="J181" i="4" s="1"/>
  <c r="D182" i="4"/>
  <c r="J182" i="4" s="1"/>
  <c r="D183" i="4"/>
  <c r="J183" i="4" s="1"/>
  <c r="D184" i="4"/>
  <c r="J184" i="4" s="1"/>
  <c r="D185" i="4"/>
  <c r="J185" i="4" s="1"/>
  <c r="D186" i="4"/>
  <c r="J186" i="4" s="1"/>
  <c r="D187" i="4"/>
  <c r="J187" i="4" s="1"/>
  <c r="D188" i="4"/>
  <c r="J188" i="4" s="1"/>
  <c r="D189" i="4"/>
  <c r="J189" i="4" s="1"/>
  <c r="D190" i="4"/>
  <c r="J190" i="4" s="1"/>
  <c r="D191" i="4"/>
  <c r="J191" i="4" s="1"/>
  <c r="D192" i="4"/>
  <c r="J192" i="4" s="1"/>
  <c r="D193" i="4"/>
  <c r="J193" i="4" s="1"/>
  <c r="D194" i="4"/>
  <c r="J194" i="4" s="1"/>
  <c r="D195" i="4"/>
  <c r="J195" i="4" s="1"/>
  <c r="D196" i="4"/>
  <c r="J196" i="4" s="1"/>
  <c r="D197" i="4"/>
  <c r="J197" i="4" s="1"/>
  <c r="D198" i="4"/>
  <c r="J198" i="4" s="1"/>
  <c r="D199" i="4"/>
  <c r="J199" i="4" s="1"/>
  <c r="D200" i="4"/>
  <c r="J200" i="4" s="1"/>
  <c r="D201" i="4"/>
  <c r="J201" i="4" s="1"/>
  <c r="D202" i="4"/>
  <c r="J202" i="4" s="1"/>
  <c r="D203" i="4"/>
  <c r="J203" i="4" s="1"/>
  <c r="D204" i="4"/>
  <c r="J204" i="4" s="1"/>
  <c r="D205" i="4"/>
  <c r="J205" i="4" s="1"/>
  <c r="D206" i="4"/>
  <c r="J206" i="4" s="1"/>
  <c r="D207" i="4"/>
  <c r="J207" i="4" s="1"/>
  <c r="D208" i="4"/>
  <c r="J208" i="4" s="1"/>
  <c r="D209" i="4"/>
  <c r="J209" i="4" s="1"/>
  <c r="D210" i="4"/>
  <c r="J210" i="4" s="1"/>
  <c r="D211" i="4"/>
  <c r="J211" i="4" s="1"/>
  <c r="D212" i="4"/>
  <c r="J212" i="4" s="1"/>
  <c r="D213" i="4"/>
  <c r="J213" i="4" s="1"/>
  <c r="D214" i="4"/>
  <c r="J214" i="4" s="1"/>
  <c r="D215" i="4"/>
  <c r="J215" i="4" s="1"/>
  <c r="D216" i="4"/>
  <c r="J216" i="4" s="1"/>
  <c r="D217" i="4"/>
  <c r="J217" i="4" s="1"/>
  <c r="D218" i="4"/>
  <c r="J218" i="4" s="1"/>
  <c r="D219" i="4"/>
  <c r="J219" i="4" s="1"/>
  <c r="K99" i="4" l="1"/>
  <c r="L99" i="4"/>
  <c r="K182" i="4"/>
  <c r="L182" i="4"/>
  <c r="K70" i="4"/>
  <c r="L70" i="4"/>
  <c r="K69" i="4"/>
  <c r="L69" i="4"/>
  <c r="K152" i="4"/>
  <c r="L152" i="4"/>
  <c r="K68" i="4"/>
  <c r="L68" i="4"/>
  <c r="K11" i="4"/>
  <c r="L11" i="4"/>
  <c r="K150" i="4"/>
  <c r="L150" i="4"/>
  <c r="K38" i="4"/>
  <c r="L38" i="4"/>
  <c r="K177" i="4"/>
  <c r="L177" i="4"/>
  <c r="K93" i="4"/>
  <c r="L93" i="4"/>
  <c r="K9" i="4"/>
  <c r="L9" i="4"/>
  <c r="K204" i="4"/>
  <c r="L204" i="4"/>
  <c r="K148" i="4"/>
  <c r="L148" i="4"/>
  <c r="K120" i="4"/>
  <c r="L120" i="4"/>
  <c r="K92" i="4"/>
  <c r="L92" i="4"/>
  <c r="K64" i="4"/>
  <c r="L64" i="4"/>
  <c r="K8" i="4"/>
  <c r="L8" i="4"/>
  <c r="K203" i="4"/>
  <c r="L203" i="4"/>
  <c r="K147" i="4"/>
  <c r="L147" i="4"/>
  <c r="K91" i="4"/>
  <c r="L91" i="4"/>
  <c r="K35" i="4"/>
  <c r="L35" i="4"/>
  <c r="K34" i="4"/>
  <c r="L34" i="4"/>
  <c r="K172" i="4"/>
  <c r="L172" i="4"/>
  <c r="K144" i="4"/>
  <c r="L144" i="4"/>
  <c r="K116" i="4"/>
  <c r="L116" i="4"/>
  <c r="K88" i="4"/>
  <c r="L88" i="4"/>
  <c r="K60" i="4"/>
  <c r="L60" i="4"/>
  <c r="K32" i="4"/>
  <c r="L32" i="4"/>
  <c r="K4" i="4"/>
  <c r="L4" i="4"/>
  <c r="K43" i="4"/>
  <c r="L43" i="4"/>
  <c r="K154" i="4"/>
  <c r="L154" i="4"/>
  <c r="K97" i="4"/>
  <c r="L97" i="4"/>
  <c r="K124" i="4"/>
  <c r="L124" i="4"/>
  <c r="K123" i="4"/>
  <c r="L123" i="4"/>
  <c r="K39" i="4"/>
  <c r="L39" i="4"/>
  <c r="K206" i="4"/>
  <c r="L206" i="4"/>
  <c r="K10" i="4"/>
  <c r="L10" i="4"/>
  <c r="K205" i="4"/>
  <c r="L205" i="4"/>
  <c r="K149" i="4"/>
  <c r="L149" i="4"/>
  <c r="K121" i="4"/>
  <c r="L121" i="4"/>
  <c r="K65" i="4"/>
  <c r="L65" i="4"/>
  <c r="K37" i="4"/>
  <c r="L37" i="4"/>
  <c r="K176" i="4"/>
  <c r="L176" i="4"/>
  <c r="K36" i="4"/>
  <c r="L36" i="4"/>
  <c r="K175" i="4"/>
  <c r="L175" i="4"/>
  <c r="K119" i="4"/>
  <c r="L119" i="4"/>
  <c r="K63" i="4"/>
  <c r="L63" i="4"/>
  <c r="K7" i="4"/>
  <c r="L7" i="4"/>
  <c r="K202" i="4"/>
  <c r="L202" i="4"/>
  <c r="K174" i="4"/>
  <c r="L174" i="4"/>
  <c r="K146" i="4"/>
  <c r="L146" i="4"/>
  <c r="K118" i="4"/>
  <c r="L118" i="4"/>
  <c r="K90" i="4"/>
  <c r="L90" i="4"/>
  <c r="K62" i="4"/>
  <c r="L62" i="4"/>
  <c r="K6" i="4"/>
  <c r="L6" i="4"/>
  <c r="K201" i="4"/>
  <c r="L201" i="4"/>
  <c r="K173" i="4"/>
  <c r="L173" i="4"/>
  <c r="K145" i="4"/>
  <c r="L145" i="4"/>
  <c r="K117" i="4"/>
  <c r="L117" i="4"/>
  <c r="K89" i="4"/>
  <c r="L89" i="4"/>
  <c r="K61" i="4"/>
  <c r="L61" i="4"/>
  <c r="K33" i="4"/>
  <c r="L33" i="4"/>
  <c r="K5" i="4"/>
  <c r="L5" i="4"/>
  <c r="K200" i="4"/>
  <c r="L200" i="4"/>
  <c r="K199" i="4"/>
  <c r="L199" i="4"/>
  <c r="K171" i="4"/>
  <c r="L171" i="4"/>
  <c r="K143" i="4"/>
  <c r="L143" i="4"/>
  <c r="K115" i="4"/>
  <c r="L115" i="4"/>
  <c r="K87" i="4"/>
  <c r="L87" i="4"/>
  <c r="K59" i="4"/>
  <c r="L59" i="4"/>
  <c r="K31" i="4"/>
  <c r="L31" i="4"/>
  <c r="K3" i="4"/>
  <c r="L3" i="4"/>
  <c r="K198" i="4"/>
  <c r="L198" i="4"/>
  <c r="K170" i="4"/>
  <c r="L170" i="4"/>
  <c r="K142" i="4"/>
  <c r="L142" i="4"/>
  <c r="K114" i="4"/>
  <c r="L114" i="4"/>
  <c r="K86" i="4"/>
  <c r="L86" i="4"/>
  <c r="K58" i="4"/>
  <c r="L58" i="4"/>
  <c r="K30" i="4"/>
  <c r="L30" i="4"/>
  <c r="K155" i="4"/>
  <c r="L155" i="4"/>
  <c r="K126" i="4"/>
  <c r="L126" i="4"/>
  <c r="K153" i="4"/>
  <c r="L153" i="4"/>
  <c r="K40" i="4"/>
  <c r="L40" i="4"/>
  <c r="K94" i="4"/>
  <c r="L94" i="4"/>
  <c r="K197" i="4"/>
  <c r="L197" i="4"/>
  <c r="K169" i="4"/>
  <c r="L169" i="4"/>
  <c r="K141" i="4"/>
  <c r="L141" i="4"/>
  <c r="K113" i="4"/>
  <c r="L113" i="4"/>
  <c r="K85" i="4"/>
  <c r="L85" i="4"/>
  <c r="K57" i="4"/>
  <c r="L57" i="4"/>
  <c r="K29" i="4"/>
  <c r="L29" i="4"/>
  <c r="K196" i="4"/>
  <c r="L196" i="4"/>
  <c r="K168" i="4"/>
  <c r="L168" i="4"/>
  <c r="K140" i="4"/>
  <c r="L140" i="4"/>
  <c r="K112" i="4"/>
  <c r="L112" i="4"/>
  <c r="K84" i="4"/>
  <c r="L84" i="4"/>
  <c r="K56" i="4"/>
  <c r="L56" i="4"/>
  <c r="K28" i="4"/>
  <c r="L28" i="4"/>
  <c r="K195" i="4"/>
  <c r="L195" i="4"/>
  <c r="K167" i="4"/>
  <c r="L167" i="4"/>
  <c r="K139" i="4"/>
  <c r="L139" i="4"/>
  <c r="K111" i="4"/>
  <c r="L111" i="4"/>
  <c r="K83" i="4"/>
  <c r="L83" i="4"/>
  <c r="K55" i="4"/>
  <c r="L55" i="4"/>
  <c r="K27" i="4"/>
  <c r="L27" i="4"/>
  <c r="K194" i="4"/>
  <c r="L194" i="4"/>
  <c r="K166" i="4"/>
  <c r="L166" i="4"/>
  <c r="K138" i="4"/>
  <c r="L138" i="4"/>
  <c r="K110" i="4"/>
  <c r="L110" i="4"/>
  <c r="K82" i="4"/>
  <c r="L82" i="4"/>
  <c r="K54" i="4"/>
  <c r="L54" i="4"/>
  <c r="K26" i="4"/>
  <c r="L26" i="4"/>
  <c r="K211" i="4"/>
  <c r="L211" i="4"/>
  <c r="K98" i="4"/>
  <c r="L98" i="4"/>
  <c r="K15" i="4"/>
  <c r="L15" i="4"/>
  <c r="K151" i="4"/>
  <c r="L151" i="4"/>
  <c r="K183" i="4"/>
  <c r="L183" i="4"/>
  <c r="K71" i="4"/>
  <c r="L71" i="4"/>
  <c r="K210" i="4"/>
  <c r="L210" i="4"/>
  <c r="K14" i="4"/>
  <c r="L14" i="4"/>
  <c r="K209" i="4"/>
  <c r="L209" i="4"/>
  <c r="K13" i="4"/>
  <c r="L13" i="4"/>
  <c r="K208" i="4"/>
  <c r="L208" i="4"/>
  <c r="K96" i="4"/>
  <c r="L96" i="4"/>
  <c r="K179" i="4"/>
  <c r="L179" i="4"/>
  <c r="K67" i="4"/>
  <c r="L67" i="4"/>
  <c r="K178" i="4"/>
  <c r="L178" i="4"/>
  <c r="K66" i="4"/>
  <c r="L66" i="4"/>
  <c r="K193" i="4"/>
  <c r="L193" i="4"/>
  <c r="K137" i="4"/>
  <c r="L137" i="4"/>
  <c r="K81" i="4"/>
  <c r="L81" i="4"/>
  <c r="K25" i="4"/>
  <c r="L25" i="4"/>
  <c r="K192" i="4"/>
  <c r="L192" i="4"/>
  <c r="K136" i="4"/>
  <c r="L136" i="4"/>
  <c r="K80" i="4"/>
  <c r="L80" i="4"/>
  <c r="K24" i="4"/>
  <c r="L24" i="4"/>
  <c r="K191" i="4"/>
  <c r="L191" i="4"/>
  <c r="K163" i="4"/>
  <c r="L163" i="4"/>
  <c r="K135" i="4"/>
  <c r="L135" i="4"/>
  <c r="K107" i="4"/>
  <c r="L107" i="4"/>
  <c r="K79" i="4"/>
  <c r="L79" i="4"/>
  <c r="K51" i="4"/>
  <c r="L51" i="4"/>
  <c r="K218" i="4"/>
  <c r="L218" i="4"/>
  <c r="K134" i="4"/>
  <c r="L134" i="4"/>
  <c r="K22" i="4"/>
  <c r="L22" i="4"/>
  <c r="K217" i="4"/>
  <c r="L217" i="4"/>
  <c r="K189" i="4"/>
  <c r="L189" i="4"/>
  <c r="K133" i="4"/>
  <c r="L133" i="4"/>
  <c r="K105" i="4"/>
  <c r="L105" i="4"/>
  <c r="K77" i="4"/>
  <c r="L77" i="4"/>
  <c r="K49" i="4"/>
  <c r="L49" i="4"/>
  <c r="K188" i="4"/>
  <c r="L188" i="4"/>
  <c r="K104" i="4"/>
  <c r="L104" i="4"/>
  <c r="K20" i="4"/>
  <c r="L20" i="4"/>
  <c r="K187" i="4"/>
  <c r="L187" i="4"/>
  <c r="K131" i="4"/>
  <c r="L131" i="4"/>
  <c r="K75" i="4"/>
  <c r="L75" i="4"/>
  <c r="K19" i="4"/>
  <c r="L19" i="4"/>
  <c r="K214" i="4"/>
  <c r="L214" i="4"/>
  <c r="K158" i="4"/>
  <c r="L158" i="4"/>
  <c r="K102" i="4"/>
  <c r="L102" i="4"/>
  <c r="K74" i="4"/>
  <c r="L74" i="4"/>
  <c r="K18" i="4"/>
  <c r="L18" i="4"/>
  <c r="K213" i="4"/>
  <c r="L213" i="4"/>
  <c r="K185" i="4"/>
  <c r="L185" i="4"/>
  <c r="K157" i="4"/>
  <c r="L157" i="4"/>
  <c r="K129" i="4"/>
  <c r="L129" i="4"/>
  <c r="K101" i="4"/>
  <c r="L101" i="4"/>
  <c r="K73" i="4"/>
  <c r="L73" i="4"/>
  <c r="K45" i="4"/>
  <c r="L45" i="4"/>
  <c r="K17" i="4"/>
  <c r="L17" i="4"/>
  <c r="K127" i="4"/>
  <c r="L127" i="4"/>
  <c r="K42" i="4"/>
  <c r="L42" i="4"/>
  <c r="K181" i="4"/>
  <c r="L181" i="4"/>
  <c r="K125" i="4"/>
  <c r="L125" i="4"/>
  <c r="K41" i="4"/>
  <c r="L41" i="4"/>
  <c r="K180" i="4"/>
  <c r="L180" i="4"/>
  <c r="K12" i="4"/>
  <c r="L12" i="4"/>
  <c r="K207" i="4"/>
  <c r="L207" i="4"/>
  <c r="K95" i="4"/>
  <c r="L95" i="4"/>
  <c r="K122" i="4"/>
  <c r="L122" i="4"/>
  <c r="K165" i="4"/>
  <c r="L165" i="4"/>
  <c r="K109" i="4"/>
  <c r="L109" i="4"/>
  <c r="K53" i="4"/>
  <c r="L53" i="4"/>
  <c r="K2" i="4"/>
  <c r="L2" i="4"/>
  <c r="K164" i="4"/>
  <c r="L164" i="4"/>
  <c r="K108" i="4"/>
  <c r="L108" i="4"/>
  <c r="K52" i="4"/>
  <c r="L52" i="4"/>
  <c r="K219" i="4"/>
  <c r="L219" i="4"/>
  <c r="K23" i="4"/>
  <c r="L23" i="4"/>
  <c r="K190" i="4"/>
  <c r="L190" i="4"/>
  <c r="K162" i="4"/>
  <c r="L162" i="4"/>
  <c r="K106" i="4"/>
  <c r="L106" i="4"/>
  <c r="K78" i="4"/>
  <c r="L78" i="4"/>
  <c r="K50" i="4"/>
  <c r="L50" i="4"/>
  <c r="K161" i="4"/>
  <c r="L161" i="4"/>
  <c r="K21" i="4"/>
  <c r="L21" i="4"/>
  <c r="K216" i="4"/>
  <c r="L216" i="4"/>
  <c r="K160" i="4"/>
  <c r="L160" i="4"/>
  <c r="K132" i="4"/>
  <c r="L132" i="4"/>
  <c r="K76" i="4"/>
  <c r="L76" i="4"/>
  <c r="K48" i="4"/>
  <c r="L48" i="4"/>
  <c r="K215" i="4"/>
  <c r="L215" i="4"/>
  <c r="K159" i="4"/>
  <c r="L159" i="4"/>
  <c r="K103" i="4"/>
  <c r="L103" i="4"/>
  <c r="K47" i="4"/>
  <c r="L47" i="4"/>
  <c r="K186" i="4"/>
  <c r="L186" i="4"/>
  <c r="K130" i="4"/>
  <c r="L130" i="4"/>
  <c r="K46" i="4"/>
  <c r="L46" i="4"/>
  <c r="K212" i="4"/>
  <c r="L212" i="4"/>
  <c r="K184" i="4"/>
  <c r="L184" i="4"/>
  <c r="K156" i="4"/>
  <c r="L156" i="4"/>
  <c r="K128" i="4"/>
  <c r="L128" i="4"/>
  <c r="K100" i="4"/>
  <c r="L100" i="4"/>
  <c r="K72" i="4"/>
  <c r="L72" i="4"/>
  <c r="K44" i="4"/>
  <c r="L44" i="4"/>
  <c r="K16" i="4"/>
  <c r="L16" i="4"/>
  <c r="H183" i="4"/>
  <c r="H15" i="4"/>
  <c r="H154" i="4"/>
  <c r="H70" i="4"/>
  <c r="H125" i="4"/>
  <c r="H13" i="4"/>
  <c r="H208" i="4"/>
  <c r="H68" i="4"/>
  <c r="H207" i="4"/>
  <c r="H179" i="4"/>
  <c r="H151" i="4"/>
  <c r="H95" i="4"/>
  <c r="H11" i="4"/>
  <c r="H206" i="4"/>
  <c r="H178" i="4"/>
  <c r="H150" i="4"/>
  <c r="H122" i="4"/>
  <c r="H94" i="4"/>
  <c r="H66" i="4"/>
  <c r="H38" i="4"/>
  <c r="H10" i="4"/>
  <c r="H205" i="4"/>
  <c r="H177" i="4"/>
  <c r="H149" i="4"/>
  <c r="H121" i="4"/>
  <c r="H93" i="4"/>
  <c r="H65" i="4"/>
  <c r="H37" i="4"/>
  <c r="H9" i="4"/>
  <c r="H204" i="4"/>
  <c r="H176" i="4"/>
  <c r="H148" i="4"/>
  <c r="H120" i="4"/>
  <c r="H92" i="4"/>
  <c r="H64" i="4"/>
  <c r="H36" i="4"/>
  <c r="H8" i="4"/>
  <c r="H203" i="4"/>
  <c r="H175" i="4"/>
  <c r="H147" i="4"/>
  <c r="H119" i="4"/>
  <c r="H91" i="4"/>
  <c r="H63" i="4"/>
  <c r="H35" i="4"/>
  <c r="H7" i="4"/>
  <c r="H211" i="4"/>
  <c r="H99" i="4"/>
  <c r="H210" i="4"/>
  <c r="H126" i="4"/>
  <c r="H209" i="4"/>
  <c r="H41" i="4"/>
  <c r="H152" i="4"/>
  <c r="H40" i="4"/>
  <c r="H67" i="4"/>
  <c r="H118" i="4"/>
  <c r="H34" i="4"/>
  <c r="H145" i="4"/>
  <c r="H61" i="4"/>
  <c r="H172" i="4"/>
  <c r="H32" i="4"/>
  <c r="H199" i="4"/>
  <c r="H115" i="4"/>
  <c r="H59" i="4"/>
  <c r="H58" i="4"/>
  <c r="H113" i="4"/>
  <c r="H56" i="4"/>
  <c r="H139" i="4"/>
  <c r="H55" i="4"/>
  <c r="H194" i="4"/>
  <c r="H110" i="4"/>
  <c r="H54" i="4"/>
  <c r="H53" i="4"/>
  <c r="H2" i="4"/>
  <c r="H192" i="4"/>
  <c r="H164" i="4"/>
  <c r="H136" i="4"/>
  <c r="H108" i="4"/>
  <c r="H80" i="4"/>
  <c r="H52" i="4"/>
  <c r="H24" i="4"/>
  <c r="H219" i="4"/>
  <c r="H191" i="4"/>
  <c r="H163" i="4"/>
  <c r="H135" i="4"/>
  <c r="H107" i="4"/>
  <c r="H79" i="4"/>
  <c r="H51" i="4"/>
  <c r="H23" i="4"/>
  <c r="H155" i="4"/>
  <c r="H43" i="4"/>
  <c r="H42" i="4"/>
  <c r="H181" i="4"/>
  <c r="H97" i="4"/>
  <c r="H96" i="4"/>
  <c r="H123" i="4"/>
  <c r="H146" i="4"/>
  <c r="H62" i="4"/>
  <c r="H173" i="4"/>
  <c r="H33" i="4"/>
  <c r="H200" i="4"/>
  <c r="H88" i="4"/>
  <c r="H4" i="4"/>
  <c r="H143" i="4"/>
  <c r="H31" i="4"/>
  <c r="H198" i="4"/>
  <c r="H30" i="4"/>
  <c r="H197" i="4"/>
  <c r="H29" i="4"/>
  <c r="H140" i="4"/>
  <c r="H28" i="4"/>
  <c r="H167" i="4"/>
  <c r="H83" i="4"/>
  <c r="H166" i="4"/>
  <c r="H26" i="4"/>
  <c r="H81" i="4"/>
  <c r="H22" i="4"/>
  <c r="H217" i="4"/>
  <c r="H189" i="4"/>
  <c r="H161" i="4"/>
  <c r="H133" i="4"/>
  <c r="H105" i="4"/>
  <c r="H77" i="4"/>
  <c r="H49" i="4"/>
  <c r="H21" i="4"/>
  <c r="H216" i="4"/>
  <c r="H188" i="4"/>
  <c r="H160" i="4"/>
  <c r="H132" i="4"/>
  <c r="H104" i="4"/>
  <c r="H76" i="4"/>
  <c r="H48" i="4"/>
  <c r="H20" i="4"/>
  <c r="H98" i="4"/>
  <c r="H18" i="4"/>
  <c r="H127" i="4"/>
  <c r="H71" i="4"/>
  <c r="H182" i="4"/>
  <c r="H14" i="4"/>
  <c r="H153" i="4"/>
  <c r="H69" i="4"/>
  <c r="H180" i="4"/>
  <c r="H124" i="4"/>
  <c r="H12" i="4"/>
  <c r="H39" i="4"/>
  <c r="H202" i="4"/>
  <c r="H174" i="4"/>
  <c r="H90" i="4"/>
  <c r="H6" i="4"/>
  <c r="H201" i="4"/>
  <c r="H117" i="4"/>
  <c r="H89" i="4"/>
  <c r="H5" i="4"/>
  <c r="H144" i="4"/>
  <c r="H116" i="4"/>
  <c r="H60" i="4"/>
  <c r="H171" i="4"/>
  <c r="H87" i="4"/>
  <c r="H3" i="4"/>
  <c r="H170" i="4"/>
  <c r="H142" i="4"/>
  <c r="H114" i="4"/>
  <c r="H86" i="4"/>
  <c r="H169" i="4"/>
  <c r="H141" i="4"/>
  <c r="H85" i="4"/>
  <c r="H57" i="4"/>
  <c r="H196" i="4"/>
  <c r="H168" i="4"/>
  <c r="H112" i="4"/>
  <c r="H84" i="4"/>
  <c r="H195" i="4"/>
  <c r="H111" i="4"/>
  <c r="H27" i="4"/>
  <c r="H138" i="4"/>
  <c r="H82" i="4"/>
  <c r="H193" i="4"/>
  <c r="H165" i="4"/>
  <c r="H137" i="4"/>
  <c r="H109" i="4"/>
  <c r="H25" i="4"/>
  <c r="H218" i="4"/>
  <c r="H190" i="4"/>
  <c r="H162" i="4"/>
  <c r="H134" i="4"/>
  <c r="H106" i="4"/>
  <c r="H78" i="4"/>
  <c r="H50" i="4"/>
  <c r="H215" i="4"/>
  <c r="H187" i="4"/>
  <c r="H159" i="4"/>
  <c r="H131" i="4"/>
  <c r="H103" i="4"/>
  <c r="H75" i="4"/>
  <c r="H47" i="4"/>
  <c r="H19" i="4"/>
  <c r="H214" i="4"/>
  <c r="H186" i="4"/>
  <c r="H158" i="4"/>
  <c r="H130" i="4"/>
  <c r="H102" i="4"/>
  <c r="H74" i="4"/>
  <c r="H46" i="4"/>
  <c r="H213" i="4"/>
  <c r="H185" i="4"/>
  <c r="H157" i="4"/>
  <c r="H129" i="4"/>
  <c r="H101" i="4"/>
  <c r="H73" i="4"/>
  <c r="H45" i="4"/>
  <c r="H17" i="4"/>
  <c r="H212" i="4"/>
  <c r="H184" i="4"/>
  <c r="H156" i="4"/>
  <c r="H128" i="4"/>
  <c r="H100" i="4"/>
  <c r="H72" i="4"/>
  <c r="H44" i="4"/>
  <c r="H16" i="4"/>
  <c r="I3" i="4"/>
  <c r="I160" i="4"/>
  <c r="I48" i="4"/>
  <c r="I131" i="4"/>
  <c r="I214" i="4"/>
  <c r="I102" i="4"/>
  <c r="I157" i="4"/>
  <c r="I17" i="4"/>
  <c r="I212" i="4"/>
  <c r="I184" i="4"/>
  <c r="I156" i="4"/>
  <c r="I128" i="4"/>
  <c r="I100" i="4"/>
  <c r="I72" i="4"/>
  <c r="I44" i="4"/>
  <c r="I16" i="4"/>
  <c r="I211" i="4"/>
  <c r="I183" i="4"/>
  <c r="I155" i="4"/>
  <c r="I127" i="4"/>
  <c r="I99" i="4"/>
  <c r="I71" i="4"/>
  <c r="I43" i="4"/>
  <c r="I15" i="4"/>
  <c r="I210" i="4"/>
  <c r="I182" i="4"/>
  <c r="I154" i="4"/>
  <c r="I126" i="4"/>
  <c r="I98" i="4"/>
  <c r="I70" i="4"/>
  <c r="I42" i="4"/>
  <c r="I14" i="4"/>
  <c r="I209" i="4"/>
  <c r="I181" i="4"/>
  <c r="I153" i="4"/>
  <c r="I125" i="4"/>
  <c r="I97" i="4"/>
  <c r="I69" i="4"/>
  <c r="I41" i="4"/>
  <c r="I13" i="4"/>
  <c r="I76" i="4"/>
  <c r="I215" i="4"/>
  <c r="I186" i="4"/>
  <c r="I185" i="4"/>
  <c r="I180" i="4"/>
  <c r="I124" i="4"/>
  <c r="I68" i="4"/>
  <c r="I40" i="4"/>
  <c r="I12" i="4"/>
  <c r="I67" i="4"/>
  <c r="I150" i="4"/>
  <c r="I38" i="4"/>
  <c r="I93" i="4"/>
  <c r="I176" i="4"/>
  <c r="I148" i="4"/>
  <c r="I92" i="4"/>
  <c r="I64" i="4"/>
  <c r="I36" i="4"/>
  <c r="I8" i="4"/>
  <c r="I175" i="4"/>
  <c r="I119" i="4"/>
  <c r="I63" i="4"/>
  <c r="I174" i="4"/>
  <c r="I90" i="4"/>
  <c r="I34" i="4"/>
  <c r="I201" i="4"/>
  <c r="I173" i="4"/>
  <c r="I145" i="4"/>
  <c r="I117" i="4"/>
  <c r="I89" i="4"/>
  <c r="I61" i="4"/>
  <c r="I33" i="4"/>
  <c r="I5" i="4"/>
  <c r="I216" i="4"/>
  <c r="I20" i="4"/>
  <c r="I75" i="4"/>
  <c r="I18" i="4"/>
  <c r="I73" i="4"/>
  <c r="I152" i="4"/>
  <c r="I151" i="4"/>
  <c r="I122" i="4"/>
  <c r="I177" i="4"/>
  <c r="I121" i="4"/>
  <c r="I65" i="4"/>
  <c r="I9" i="4"/>
  <c r="I204" i="4"/>
  <c r="I120" i="4"/>
  <c r="I203" i="4"/>
  <c r="I147" i="4"/>
  <c r="I91" i="4"/>
  <c r="I35" i="4"/>
  <c r="I7" i="4"/>
  <c r="I202" i="4"/>
  <c r="I146" i="4"/>
  <c r="I118" i="4"/>
  <c r="I62" i="4"/>
  <c r="I6" i="4"/>
  <c r="I200" i="4"/>
  <c r="I172" i="4"/>
  <c r="I144" i="4"/>
  <c r="I116" i="4"/>
  <c r="I88" i="4"/>
  <c r="I60" i="4"/>
  <c r="I32" i="4"/>
  <c r="I4" i="4"/>
  <c r="I132" i="4"/>
  <c r="I103" i="4"/>
  <c r="I130" i="4"/>
  <c r="I213" i="4"/>
  <c r="I149" i="4"/>
  <c r="I46" i="4"/>
  <c r="I45" i="4"/>
  <c r="I206" i="4"/>
  <c r="I2" i="4"/>
  <c r="I167" i="4"/>
  <c r="I194" i="4"/>
  <c r="I166" i="4"/>
  <c r="I138" i="4"/>
  <c r="I110" i="4"/>
  <c r="I82" i="4"/>
  <c r="I54" i="4"/>
  <c r="I26" i="4"/>
  <c r="I193" i="4"/>
  <c r="I165" i="4"/>
  <c r="I137" i="4"/>
  <c r="I109" i="4"/>
  <c r="I81" i="4"/>
  <c r="I53" i="4"/>
  <c r="I25" i="4"/>
  <c r="I188" i="4"/>
  <c r="I66" i="4"/>
  <c r="I198" i="4"/>
  <c r="I30" i="4"/>
  <c r="I111" i="4"/>
  <c r="I187" i="4"/>
  <c r="I19" i="4"/>
  <c r="I74" i="4"/>
  <c r="I129" i="4"/>
  <c r="I96" i="4"/>
  <c r="I179" i="4"/>
  <c r="I95" i="4"/>
  <c r="I11" i="4"/>
  <c r="I143" i="4"/>
  <c r="I104" i="4"/>
  <c r="I159" i="4"/>
  <c r="I47" i="4"/>
  <c r="I158" i="4"/>
  <c r="I101" i="4"/>
  <c r="I208" i="4"/>
  <c r="I207" i="4"/>
  <c r="I123" i="4"/>
  <c r="I39" i="4"/>
  <c r="I178" i="4"/>
  <c r="I94" i="4"/>
  <c r="I10" i="4"/>
  <c r="I205" i="4"/>
  <c r="I37" i="4"/>
  <c r="I199" i="4"/>
  <c r="I171" i="4"/>
  <c r="I115" i="4"/>
  <c r="I87" i="4"/>
  <c r="I59" i="4"/>
  <c r="I31" i="4"/>
  <c r="I170" i="4"/>
  <c r="I142" i="4"/>
  <c r="I114" i="4"/>
  <c r="I86" i="4"/>
  <c r="I58" i="4"/>
  <c r="I197" i="4"/>
  <c r="I169" i="4"/>
  <c r="I141" i="4"/>
  <c r="I113" i="4"/>
  <c r="I85" i="4"/>
  <c r="I57" i="4"/>
  <c r="I29" i="4"/>
  <c r="I196" i="4"/>
  <c r="I168" i="4"/>
  <c r="I140" i="4"/>
  <c r="I112" i="4"/>
  <c r="I84" i="4"/>
  <c r="I56" i="4"/>
  <c r="I28" i="4"/>
  <c r="I195" i="4"/>
  <c r="I139" i="4"/>
  <c r="I83" i="4"/>
  <c r="I55" i="4"/>
  <c r="I27" i="4"/>
  <c r="I192" i="4"/>
  <c r="I164" i="4"/>
  <c r="I136" i="4"/>
  <c r="I108" i="4"/>
  <c r="I80" i="4"/>
  <c r="I52" i="4"/>
  <c r="I24" i="4"/>
  <c r="I219" i="4"/>
  <c r="I191" i="4"/>
  <c r="I163" i="4"/>
  <c r="I135" i="4"/>
  <c r="I107" i="4"/>
  <c r="I79" i="4"/>
  <c r="I51" i="4"/>
  <c r="I23" i="4"/>
  <c r="I218" i="4"/>
  <c r="I190" i="4"/>
  <c r="I162" i="4"/>
  <c r="I134" i="4"/>
  <c r="I106" i="4"/>
  <c r="I78" i="4"/>
  <c r="I50" i="4"/>
  <c r="I22" i="4"/>
  <c r="I217" i="4"/>
  <c r="I189" i="4"/>
  <c r="I161" i="4"/>
  <c r="I133" i="4"/>
  <c r="I105" i="4"/>
  <c r="I77" i="4"/>
  <c r="I49" i="4"/>
  <c r="I21" i="4"/>
  <c r="F175" i="4"/>
  <c r="F63" i="4"/>
  <c r="F90" i="4"/>
  <c r="F6" i="4"/>
  <c r="F144" i="4"/>
  <c r="F4" i="4"/>
  <c r="F30" i="4"/>
  <c r="F169" i="4"/>
  <c r="F29" i="4"/>
  <c r="F196" i="4"/>
  <c r="F28" i="4"/>
  <c r="F194" i="4"/>
  <c r="F138" i="4"/>
  <c r="F54" i="4"/>
  <c r="F137" i="4"/>
  <c r="F164" i="4"/>
  <c r="F108" i="4"/>
  <c r="F79" i="4"/>
  <c r="F51" i="4"/>
  <c r="F23" i="4"/>
  <c r="F218" i="4"/>
  <c r="F162" i="4"/>
  <c r="F134" i="4"/>
  <c r="F106" i="4"/>
  <c r="F78" i="4"/>
  <c r="F50" i="4"/>
  <c r="F22" i="4"/>
  <c r="F217" i="4"/>
  <c r="F161" i="4"/>
  <c r="F133" i="4"/>
  <c r="F105" i="4"/>
  <c r="F77" i="4"/>
  <c r="F21" i="4"/>
  <c r="F216" i="4"/>
  <c r="F160" i="4"/>
  <c r="F132" i="4"/>
  <c r="F104" i="4"/>
  <c r="F76" i="4"/>
  <c r="F48" i="4"/>
  <c r="F20" i="4"/>
  <c r="F215" i="4"/>
  <c r="F187" i="4"/>
  <c r="F159" i="4"/>
  <c r="F131" i="4"/>
  <c r="F103" i="4"/>
  <c r="F75" i="4"/>
  <c r="F47" i="4"/>
  <c r="F19" i="4"/>
  <c r="F214" i="4"/>
  <c r="F186" i="4"/>
  <c r="F158" i="4"/>
  <c r="F130" i="4"/>
  <c r="F102" i="4"/>
  <c r="F74" i="4"/>
  <c r="F46" i="4"/>
  <c r="F18" i="4"/>
  <c r="F213" i="4"/>
  <c r="F185" i="4"/>
  <c r="F157" i="4"/>
  <c r="F129" i="4"/>
  <c r="F101" i="4"/>
  <c r="F73" i="4"/>
  <c r="F45" i="4"/>
  <c r="F17" i="4"/>
  <c r="F212" i="4"/>
  <c r="F184" i="4"/>
  <c r="F156" i="4"/>
  <c r="F128" i="4"/>
  <c r="F100" i="4"/>
  <c r="F72" i="4"/>
  <c r="F44" i="4"/>
  <c r="F16" i="4"/>
  <c r="F211" i="4"/>
  <c r="F183" i="4"/>
  <c r="F155" i="4"/>
  <c r="F127" i="4"/>
  <c r="F99" i="4"/>
  <c r="F71" i="4"/>
  <c r="F43" i="4"/>
  <c r="F15" i="4"/>
  <c r="F210" i="4"/>
  <c r="F182" i="4"/>
  <c r="F154" i="4"/>
  <c r="F126" i="4"/>
  <c r="F98" i="4"/>
  <c r="F70" i="4"/>
  <c r="F42" i="4"/>
  <c r="F14" i="4"/>
  <c r="F209" i="4"/>
  <c r="F181" i="4"/>
  <c r="F153" i="4"/>
  <c r="F125" i="4"/>
  <c r="F97" i="4"/>
  <c r="F69" i="4"/>
  <c r="F41" i="4"/>
  <c r="F13" i="4"/>
  <c r="F208" i="4"/>
  <c r="F180" i="4"/>
  <c r="F152" i="4"/>
  <c r="F124" i="4"/>
  <c r="F96" i="4"/>
  <c r="F68" i="4"/>
  <c r="F40" i="4"/>
  <c r="F12" i="4"/>
  <c r="F147" i="4"/>
  <c r="F200" i="4"/>
  <c r="F167" i="4"/>
  <c r="F163" i="4"/>
  <c r="F190" i="4"/>
  <c r="F189" i="4"/>
  <c r="F49" i="4"/>
  <c r="F188" i="4"/>
  <c r="F207" i="4"/>
  <c r="F179" i="4"/>
  <c r="F151" i="4"/>
  <c r="F123" i="4"/>
  <c r="F95" i="4"/>
  <c r="F67" i="4"/>
  <c r="F39" i="4"/>
  <c r="F11" i="4"/>
  <c r="F206" i="4"/>
  <c r="F178" i="4"/>
  <c r="F150" i="4"/>
  <c r="F122" i="4"/>
  <c r="F94" i="4"/>
  <c r="F66" i="4"/>
  <c r="F38" i="4"/>
  <c r="F10" i="4"/>
  <c r="F205" i="4"/>
  <c r="F177" i="4"/>
  <c r="F149" i="4"/>
  <c r="F121" i="4"/>
  <c r="F93" i="4"/>
  <c r="F65" i="4"/>
  <c r="F37" i="4"/>
  <c r="F9" i="4"/>
  <c r="F204" i="4"/>
  <c r="F176" i="4"/>
  <c r="F148" i="4"/>
  <c r="F120" i="4"/>
  <c r="F92" i="4"/>
  <c r="F64" i="4"/>
  <c r="F36" i="4"/>
  <c r="F8" i="4"/>
  <c r="F32" i="4"/>
  <c r="F3" i="4"/>
  <c r="F198" i="4"/>
  <c r="F60" i="4"/>
  <c r="F85" i="4"/>
  <c r="F118" i="4"/>
  <c r="F146" i="4"/>
  <c r="F173" i="4"/>
  <c r="F117" i="4"/>
  <c r="F89" i="4"/>
  <c r="F172" i="4"/>
  <c r="F171" i="4"/>
  <c r="F31" i="4"/>
  <c r="F114" i="4"/>
  <c r="F57" i="4"/>
  <c r="F84" i="4"/>
  <c r="F111" i="4"/>
  <c r="F83" i="4"/>
  <c r="F55" i="4"/>
  <c r="F27" i="4"/>
  <c r="F142" i="4"/>
  <c r="F197" i="4"/>
  <c r="F26" i="4"/>
  <c r="F203" i="4"/>
  <c r="F91" i="4"/>
  <c r="F35" i="4"/>
  <c r="F62" i="4"/>
  <c r="F33" i="4"/>
  <c r="F115" i="4"/>
  <c r="F141" i="4"/>
  <c r="F112" i="4"/>
  <c r="F81" i="4"/>
  <c r="F53" i="4"/>
  <c r="F25" i="4"/>
  <c r="F174" i="4"/>
  <c r="F201" i="4"/>
  <c r="F5" i="4"/>
  <c r="F88" i="4"/>
  <c r="F199" i="4"/>
  <c r="F87" i="4"/>
  <c r="F58" i="4"/>
  <c r="F168" i="4"/>
  <c r="F192" i="4"/>
  <c r="F24" i="4"/>
  <c r="F34" i="4"/>
  <c r="F86" i="4"/>
  <c r="F2" i="4"/>
  <c r="F140" i="4"/>
  <c r="F195" i="4"/>
  <c r="F166" i="4"/>
  <c r="F82" i="4"/>
  <c r="F165" i="4"/>
  <c r="F52" i="4"/>
  <c r="F191" i="4"/>
  <c r="F107" i="4"/>
  <c r="F119" i="4"/>
  <c r="F7" i="4"/>
  <c r="F202" i="4"/>
  <c r="F145" i="4"/>
  <c r="F61" i="4"/>
  <c r="F116" i="4"/>
  <c r="F143" i="4"/>
  <c r="F59" i="4"/>
  <c r="F170" i="4"/>
  <c r="F113" i="4"/>
  <c r="F56" i="4"/>
  <c r="F139" i="4"/>
  <c r="F110" i="4"/>
  <c r="F193" i="4"/>
  <c r="F109" i="4"/>
  <c r="F136" i="4"/>
  <c r="F80" i="4"/>
  <c r="F219" i="4"/>
  <c r="F135" i="4"/>
  <c r="G203" i="4"/>
  <c r="G191" i="4"/>
  <c r="G215" i="4"/>
  <c r="G179" i="4"/>
  <c r="G95" i="4"/>
  <c r="G71" i="4"/>
  <c r="G59" i="4"/>
  <c r="G47" i="4"/>
  <c r="G35" i="4"/>
  <c r="G23" i="4"/>
  <c r="G167" i="4"/>
  <c r="G155" i="4"/>
  <c r="G143" i="4"/>
  <c r="G131" i="4"/>
  <c r="G119" i="4"/>
  <c r="G107" i="4"/>
  <c r="G83" i="4"/>
  <c r="G217" i="4"/>
  <c r="G205" i="4"/>
  <c r="G193" i="4"/>
  <c r="G181" i="4"/>
  <c r="G169" i="4"/>
  <c r="G157" i="4"/>
  <c r="G145" i="4"/>
  <c r="G133" i="4"/>
  <c r="G121" i="4"/>
  <c r="G109" i="4"/>
  <c r="G97" i="4"/>
  <c r="G85" i="4"/>
  <c r="G73" i="4"/>
  <c r="G61" i="4"/>
  <c r="G49" i="4"/>
  <c r="G37" i="4"/>
  <c r="G25" i="4"/>
  <c r="G13" i="4"/>
  <c r="G216" i="4"/>
  <c r="G204" i="4"/>
  <c r="G192" i="4"/>
  <c r="G180" i="4"/>
  <c r="G168" i="4"/>
  <c r="G156" i="4"/>
  <c r="G144" i="4"/>
  <c r="G132" i="4"/>
  <c r="G120" i="4"/>
  <c r="G108" i="4"/>
  <c r="G96" i="4"/>
  <c r="G84" i="4"/>
  <c r="G72" i="4"/>
  <c r="G60" i="4"/>
  <c r="G48" i="4"/>
  <c r="G36" i="4"/>
  <c r="G24" i="4"/>
  <c r="G12" i="4"/>
  <c r="G11" i="4"/>
  <c r="G214" i="4"/>
  <c r="G202" i="4"/>
  <c r="G190" i="4"/>
  <c r="G178" i="4"/>
  <c r="G166" i="4"/>
  <c r="G154" i="4"/>
  <c r="G142" i="4"/>
  <c r="G130" i="4"/>
  <c r="G118" i="4"/>
  <c r="G106" i="4"/>
  <c r="G94" i="4"/>
  <c r="G82" i="4"/>
  <c r="G70" i="4"/>
  <c r="G58" i="4"/>
  <c r="G46" i="4"/>
  <c r="G34" i="4"/>
  <c r="G22" i="4"/>
  <c r="G10" i="4"/>
  <c r="G213" i="4"/>
  <c r="G201" i="4"/>
  <c r="G189" i="4"/>
  <c r="G177" i="4"/>
  <c r="G165" i="4"/>
  <c r="G153" i="4"/>
  <c r="G141" i="4"/>
  <c r="G129" i="4"/>
  <c r="G117" i="4"/>
  <c r="G105" i="4"/>
  <c r="G93" i="4"/>
  <c r="G81" i="4"/>
  <c r="G69" i="4"/>
  <c r="G57" i="4"/>
  <c r="G45" i="4"/>
  <c r="G33" i="4"/>
  <c r="G21" i="4"/>
  <c r="G9" i="4"/>
  <c r="G212" i="4"/>
  <c r="G200" i="4"/>
  <c r="G188" i="4"/>
  <c r="G176" i="4"/>
  <c r="G164" i="4"/>
  <c r="G152" i="4"/>
  <c r="G140" i="4"/>
  <c r="G128" i="4"/>
  <c r="G116" i="4"/>
  <c r="G104" i="4"/>
  <c r="G92" i="4"/>
  <c r="G80" i="4"/>
  <c r="G68" i="4"/>
  <c r="G56" i="4"/>
  <c r="G44" i="4"/>
  <c r="G32" i="4"/>
  <c r="G20" i="4"/>
  <c r="G8" i="4"/>
  <c r="G211" i="4"/>
  <c r="G199" i="4"/>
  <c r="G187" i="4"/>
  <c r="G175" i="4"/>
  <c r="G163" i="4"/>
  <c r="G151" i="4"/>
  <c r="G139" i="4"/>
  <c r="G127" i="4"/>
  <c r="G115" i="4"/>
  <c r="G103" i="4"/>
  <c r="G91" i="4"/>
  <c r="G79" i="4"/>
  <c r="G67" i="4"/>
  <c r="G55" i="4"/>
  <c r="G43" i="4"/>
  <c r="G31" i="4"/>
  <c r="G19" i="4"/>
  <c r="G7" i="4"/>
  <c r="G210" i="4"/>
  <c r="G198" i="4"/>
  <c r="G186" i="4"/>
  <c r="G174" i="4"/>
  <c r="G162" i="4"/>
  <c r="G150" i="4"/>
  <c r="G138" i="4"/>
  <c r="G126" i="4"/>
  <c r="G114" i="4"/>
  <c r="G102" i="4"/>
  <c r="G90" i="4"/>
  <c r="G78" i="4"/>
  <c r="G66" i="4"/>
  <c r="G54" i="4"/>
  <c r="G42" i="4"/>
  <c r="G30" i="4"/>
  <c r="G18" i="4"/>
  <c r="G6" i="4"/>
  <c r="G209" i="4"/>
  <c r="G197" i="4"/>
  <c r="G185" i="4"/>
  <c r="G173" i="4"/>
  <c r="G161" i="4"/>
  <c r="G149" i="4"/>
  <c r="G137" i="4"/>
  <c r="G125" i="4"/>
  <c r="G113" i="4"/>
  <c r="G101" i="4"/>
  <c r="G89" i="4"/>
  <c r="G77" i="4"/>
  <c r="G65" i="4"/>
  <c r="G53" i="4"/>
  <c r="G41" i="4"/>
  <c r="G29" i="4"/>
  <c r="G17" i="4"/>
  <c r="G5" i="4"/>
  <c r="G208" i="4"/>
  <c r="G196" i="4"/>
  <c r="G184" i="4"/>
  <c r="G172" i="4"/>
  <c r="G160" i="4"/>
  <c r="G148" i="4"/>
  <c r="G136" i="4"/>
  <c r="G124" i="4"/>
  <c r="G112" i="4"/>
  <c r="G100" i="4"/>
  <c r="G88" i="4"/>
  <c r="G76" i="4"/>
  <c r="G64" i="4"/>
  <c r="G52" i="4"/>
  <c r="G40" i="4"/>
  <c r="G28" i="4"/>
  <c r="G16" i="4"/>
  <c r="G4" i="4"/>
  <c r="G219" i="4"/>
  <c r="G207" i="4"/>
  <c r="G195" i="4"/>
  <c r="G183" i="4"/>
  <c r="G171" i="4"/>
  <c r="G159" i="4"/>
  <c r="G147" i="4"/>
  <c r="G135" i="4"/>
  <c r="G123" i="4"/>
  <c r="G111" i="4"/>
  <c r="G99" i="4"/>
  <c r="G87" i="4"/>
  <c r="G75" i="4"/>
  <c r="G63" i="4"/>
  <c r="G51" i="4"/>
  <c r="G39" i="4"/>
  <c r="G27" i="4"/>
  <c r="G15" i="4"/>
  <c r="G3" i="4"/>
  <c r="G218" i="4"/>
  <c r="G206" i="4"/>
  <c r="G194" i="4"/>
  <c r="G182" i="4"/>
  <c r="G170" i="4"/>
  <c r="G158" i="4"/>
  <c r="G146" i="4"/>
  <c r="G134" i="4"/>
  <c r="G122" i="4"/>
  <c r="G110" i="4"/>
  <c r="G98" i="4"/>
  <c r="G86" i="4"/>
  <c r="G74" i="4"/>
  <c r="G62" i="4"/>
  <c r="G50" i="4"/>
  <c r="G38" i="4"/>
  <c r="G26" i="4"/>
  <c r="G14" i="4"/>
  <c r="G2" i="4"/>
</calcChain>
</file>

<file path=xl/sharedStrings.xml><?xml version="1.0" encoding="utf-8"?>
<sst xmlns="http://schemas.openxmlformats.org/spreadsheetml/2006/main" count="193" uniqueCount="94">
  <si>
    <t>Brand</t>
  </si>
  <si>
    <t>Model</t>
  </si>
  <si>
    <t>City</t>
  </si>
  <si>
    <t>Country</t>
  </si>
  <si>
    <t>DealerID</t>
  </si>
  <si>
    <t>DealerName</t>
  </si>
  <si>
    <t>ModelID</t>
  </si>
  <si>
    <t>SaleID</t>
  </si>
  <si>
    <t>Date</t>
  </si>
  <si>
    <t>Quantity</t>
  </si>
  <si>
    <t>TotalPrice</t>
  </si>
  <si>
    <t>Segment</t>
  </si>
  <si>
    <t>EngineSize (L)</t>
  </si>
  <si>
    <t>Fuel</t>
  </si>
  <si>
    <t>Price (USD)</t>
  </si>
  <si>
    <t>Profit (USD)</t>
  </si>
  <si>
    <t>Total Profit</t>
  </si>
  <si>
    <t xml:space="preserve"> ABC Motors       </t>
  </si>
  <si>
    <t xml:space="preserve"> Kuala Lumpur   </t>
  </si>
  <si>
    <t xml:space="preserve"> Malaysia     </t>
  </si>
  <si>
    <t xml:space="preserve"> XYZ Cars         </t>
  </si>
  <si>
    <t xml:space="preserve"> George Town     </t>
  </si>
  <si>
    <t xml:space="preserve"> Singapore Autos  </t>
  </si>
  <si>
    <t xml:space="preserve"> Singapore      </t>
  </si>
  <si>
    <t xml:space="preserve"> Singapore    </t>
  </si>
  <si>
    <t xml:space="preserve"> Manila Motors    </t>
  </si>
  <si>
    <t xml:space="preserve"> Manila         </t>
  </si>
  <si>
    <t xml:space="preserve"> Philippines  </t>
  </si>
  <si>
    <t xml:space="preserve"> Cebu Cars        </t>
  </si>
  <si>
    <t xml:space="preserve"> Cebu City      </t>
  </si>
  <si>
    <t xml:space="preserve"> Davao Dealers    </t>
  </si>
  <si>
    <t xml:space="preserve"> Davao City     </t>
  </si>
  <si>
    <t xml:space="preserve"> Quezon Vehicles  </t>
  </si>
  <si>
    <t xml:space="preserve"> Quezon City    </t>
  </si>
  <si>
    <t xml:space="preserve"> Bacolod Autos    </t>
  </si>
  <si>
    <t xml:space="preserve"> Bacolod City   </t>
  </si>
  <si>
    <t xml:space="preserve"> Iloilo Motors    </t>
  </si>
  <si>
    <t xml:space="preserve"> Iloilo City    </t>
  </si>
  <si>
    <t xml:space="preserve"> Zamboanga Cars   </t>
  </si>
  <si>
    <t xml:space="preserve"> Zamboanga City </t>
  </si>
  <si>
    <t xml:space="preserve"> Toyota     </t>
  </si>
  <si>
    <t xml:space="preserve"> Sedan          </t>
  </si>
  <si>
    <t xml:space="preserve"> 1.5             </t>
  </si>
  <si>
    <t xml:space="preserve"> Gasoline</t>
  </si>
  <si>
    <t xml:space="preserve"> Honda      </t>
  </si>
  <si>
    <t xml:space="preserve"> 1.8             </t>
  </si>
  <si>
    <t xml:space="preserve"> Ford       </t>
  </si>
  <si>
    <t xml:space="preserve"> Pickup         </t>
  </si>
  <si>
    <t xml:space="preserve"> 2.0             </t>
  </si>
  <si>
    <t xml:space="preserve"> Diesel  </t>
  </si>
  <si>
    <t xml:space="preserve"> Nissan     </t>
  </si>
  <si>
    <t xml:space="preserve"> 1.2             </t>
  </si>
  <si>
    <t xml:space="preserve"> Mitsubishi </t>
  </si>
  <si>
    <t xml:space="preserve"> MPV            </t>
  </si>
  <si>
    <t xml:space="preserve"> Hyundai    </t>
  </si>
  <si>
    <t xml:space="preserve"> SUV            </t>
  </si>
  <si>
    <t xml:space="preserve"> Proton     </t>
  </si>
  <si>
    <t xml:space="preserve"> 1.6             </t>
  </si>
  <si>
    <t xml:space="preserve"> Mazda      </t>
  </si>
  <si>
    <t xml:space="preserve"> 2.5             </t>
  </si>
  <si>
    <t xml:space="preserve"> Vios            </t>
  </si>
  <si>
    <t xml:space="preserve"> Corolla Altis   </t>
  </si>
  <si>
    <t xml:space="preserve"> Civic           </t>
  </si>
  <si>
    <t xml:space="preserve"> CR-V            </t>
  </si>
  <si>
    <t xml:space="preserve"> 2.4             </t>
  </si>
  <si>
    <t xml:space="preserve"> Ranger          </t>
  </si>
  <si>
    <t xml:space="preserve"> Everest         </t>
  </si>
  <si>
    <t xml:space="preserve"> Almera          </t>
  </si>
  <si>
    <t xml:space="preserve"> X-Trail         </t>
  </si>
  <si>
    <t xml:space="preserve"> Xpander         </t>
  </si>
  <si>
    <t xml:space="preserve"> Outlander       </t>
  </si>
  <si>
    <t xml:space="preserve"> Accent          </t>
  </si>
  <si>
    <t xml:space="preserve"> Santa Fe        </t>
  </si>
  <si>
    <t xml:space="preserve"> Persona         </t>
  </si>
  <si>
    <t xml:space="preserve"> X70             </t>
  </si>
  <si>
    <t xml:space="preserve"> Mazda3          </t>
  </si>
  <si>
    <t>Row Labels</t>
  </si>
  <si>
    <t>Grand Total</t>
  </si>
  <si>
    <t>Sum of Total Profit</t>
  </si>
  <si>
    <t>Sum of Quantity</t>
  </si>
  <si>
    <t>Cars</t>
  </si>
  <si>
    <t>Brands</t>
  </si>
  <si>
    <t>Dealer</t>
  </si>
  <si>
    <t>1. Present Revenue by Country</t>
  </si>
  <si>
    <t>2. Identify the Top 3 Cars Sold</t>
  </si>
  <si>
    <t>From the given graph and table above the top 3 Cars(base on models) are; First is Santa Fe with 40 Cars Sold, Second is X-Trial with 37 cars sold, and Lastly is Vios with 30 cars sold</t>
  </si>
  <si>
    <t>3. Profit vs Sale Quantity between brands</t>
  </si>
  <si>
    <t>Base from the graph we can see that highest quantity sold is the Mitsubishi brand with a quantity of 63 units sold, but only in the 3rd place in terms of its total Profits with the numbers of 145,600 unlike the other two shich is Honda with a 42 units sold but has the second highest total profit with 151200 and the Hyundai with only 52 units sold but with a 169,800 of profits.</t>
  </si>
  <si>
    <t>Another 2 brands that are worth comparing is also the nissan and Proton Brands because of how close they are in terms of units sold but differs from each others total profits where Proton has 119600 total profits while the nissan only has 98600</t>
  </si>
  <si>
    <t>From the data provided and the graph from the left we can analyze the top 3 in terms of location depending of its revenue. First is at Ilo ilo City with a 166900 in revenue. Cebu City comes second with a 120200 in revenue and lastly Bacolod City which comes close to Cebu City with a 115600 in revenue</t>
  </si>
  <si>
    <t>This table provides the information of the top 3 car brands sold. With the highest sold is mitsubishi with 63 units, second is Hyundai with 52 units, and lastly is nissan with 49 units.</t>
  </si>
  <si>
    <t>From the table given above it displays the revenue of each country. We can see that the highest revenue is from the Country Philippines, Second is Malaysia, and the least revenue in terms of Country is Singapore. Another information to take is one reason why Phillippines have the highest revenue is because in the data there a lot of dealers that are located in the Country for example is the Davao dealers, Cebu Cars, and manila motors.</t>
  </si>
  <si>
    <t>4. Visualize Revenue and sales by City and Dealer</t>
  </si>
  <si>
    <t>Sum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</si>
</sst>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5" formatCode="_-[$$-409]* #,##0.00_ ;_-[$$-409]* \-#,##0.00\ ;_-[$$-409]* &quot;-&quot;??_ ;_-@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center" vertical="top" wrapText="1"/>
    </xf>
    <xf numFmtId="165" fontId="0" fillId="0" borderId="0" xfId="1" applyNumberFormat="1" applyFont="1"/>
    <xf numFmtId="165" fontId="0" fillId="0" borderId="0" xfId="0" applyNumberFormat="1"/>
  </cellXfs>
  <cellStyles count="2">
    <cellStyle name="Currency" xfId="1" builtinId="4"/>
    <cellStyle name="Normal" xfId="0" builtinId="0"/>
  </cellStyles>
  <dxfs count="10">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numFmt numFmtId="164" formatCode="dd/mm/yyyy"/>
    </dxf>
  </dxfs>
  <tableStyles count="0" defaultTableStyle="TableStyleMedium2" defaultPivotStyle="PivotStyleLight16"/>
  <colors>
    <mruColors>
      <color rgb="FF1AEE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[Lamsin_Activity2 (2).xlsx]Number1!PivotTable29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solidFill>
              <a:schemeClr val="tx1"/>
            </a:solidFill>
          </a:ln>
          <a:effectLst/>
        </c:spPr>
      </c:pivotFmt>
      <c:pivotFmt>
        <c:idx val="2"/>
        <c:spPr>
          <a:solidFill>
            <a:schemeClr val="accent1"/>
          </a:solidFill>
          <a:ln>
            <a:solidFill>
              <a:schemeClr val="tx1"/>
            </a:solidFill>
          </a:ln>
          <a:effectLst/>
        </c:spPr>
      </c:pivotFmt>
    </c:pivotFmts>
    <c:plotArea>
      <c:layout/>
      <c:barChart>
        <c:barDir val="col"/>
        <c:grouping val="clustered"/>
        <c:varyColors val="0"/>
        <c:ser>
          <c:idx val="0"/>
          <c:order val="0"/>
          <c:tx>
            <c:strRef>
              <c:f>Number1!$B$3</c:f>
              <c:strCache>
                <c:ptCount val="1"/>
                <c:pt idx="0">
                  <c:v>Total</c:v>
                </c:pt>
              </c:strCache>
            </c:strRef>
          </c:tx>
          <c:spPr>
            <a:solidFill>
              <a:schemeClr val="accent2"/>
            </a:solidFill>
            <a:ln>
              <a:solidFill>
                <a:schemeClr val="tx1"/>
              </a:solidFill>
            </a:ln>
            <a:effectLst/>
          </c:spPr>
          <c:invertIfNegative val="0"/>
          <c:dPt>
            <c:idx val="0"/>
            <c:invertIfNegative val="0"/>
            <c:bubble3D val="0"/>
            <c:spPr>
              <a:solidFill>
                <a:schemeClr val="accent1"/>
              </a:solidFill>
              <a:ln>
                <a:solidFill>
                  <a:schemeClr val="tx1"/>
                </a:solidFill>
              </a:ln>
              <a:effectLst/>
            </c:spPr>
            <c:extLst>
              <c:ext xmlns:c16="http://schemas.microsoft.com/office/drawing/2014/chart" uri="{C3380CC4-5D6E-409C-BE32-E72D297353CC}">
                <c16:uniqueId val="{00000001-1F4D-40D8-B89F-EFB351384B6F}"/>
              </c:ext>
            </c:extLst>
          </c:dPt>
          <c:dPt>
            <c:idx val="1"/>
            <c:invertIfNegative val="0"/>
            <c:bubble3D val="0"/>
            <c:spPr>
              <a:solidFill>
                <a:schemeClr val="tx2"/>
              </a:solidFill>
              <a:ln>
                <a:solidFill>
                  <a:schemeClr val="tx1"/>
                </a:solidFill>
              </a:ln>
              <a:effectLst/>
            </c:spPr>
            <c:extLst>
              <c:ext xmlns:c16="http://schemas.microsoft.com/office/drawing/2014/chart" uri="{C3380CC4-5D6E-409C-BE32-E72D297353CC}">
                <c16:uniqueId val="{00000000-1F4D-40D8-B89F-EFB351384B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Number1!$A$4:$A$7</c:f>
              <c:strCache>
                <c:ptCount val="3"/>
                <c:pt idx="0">
                  <c:v> Malaysia     </c:v>
                </c:pt>
                <c:pt idx="1">
                  <c:v> Philippines  </c:v>
                </c:pt>
                <c:pt idx="2">
                  <c:v> Singapore    </c:v>
                </c:pt>
              </c:strCache>
            </c:strRef>
          </c:cat>
          <c:val>
            <c:numRef>
              <c:f>Number1!$B$4:$B$7</c:f>
              <c:numCache>
                <c:formatCode>General</c:formatCode>
                <c:ptCount val="3"/>
                <c:pt idx="0">
                  <c:v>178300</c:v>
                </c:pt>
                <c:pt idx="1">
                  <c:v>717300</c:v>
                </c:pt>
                <c:pt idx="2">
                  <c:v>58100</c:v>
                </c:pt>
              </c:numCache>
            </c:numRef>
          </c:val>
          <c:extLst>
            <c:ext xmlns:c16="http://schemas.microsoft.com/office/drawing/2014/chart" uri="{C3380CC4-5D6E-409C-BE32-E72D297353CC}">
              <c16:uniqueId val="{00000000-E01A-4302-94D5-C8E667BF3A9C}"/>
            </c:ext>
          </c:extLst>
        </c:ser>
        <c:dLbls>
          <c:showLegendKey val="0"/>
          <c:showVal val="0"/>
          <c:showCatName val="0"/>
          <c:showSerName val="0"/>
          <c:showPercent val="0"/>
          <c:showBubbleSize val="0"/>
        </c:dLbls>
        <c:gapWidth val="219"/>
        <c:overlap val="-27"/>
        <c:axId val="909981616"/>
        <c:axId val="1029446768"/>
      </c:barChart>
      <c:catAx>
        <c:axId val="9099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446768"/>
        <c:crosses val="autoZero"/>
        <c:auto val="1"/>
        <c:lblAlgn val="ctr"/>
        <c:lblOffset val="100"/>
        <c:noMultiLvlLbl val="0"/>
      </c:catAx>
      <c:valAx>
        <c:axId val="102944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98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[Lamsin_Activity2 (2).xlsx]Number 2!PivotTable35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20"/>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'Number 2'!$B$3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85AE-4E45-9FC0-E753957551E7}"/>
              </c:ext>
            </c:extLst>
          </c:dPt>
          <c:dPt>
            <c:idx val="1"/>
            <c:bubble3D val="0"/>
            <c:spPr>
              <a:solidFill>
                <a:schemeClr val="accent2"/>
              </a:solidFill>
              <a:ln>
                <a:noFill/>
              </a:ln>
              <a:effectLst/>
              <a:sp3d/>
            </c:spPr>
            <c:extLst>
              <c:ext xmlns:c16="http://schemas.microsoft.com/office/drawing/2014/chart" uri="{C3380CC4-5D6E-409C-BE32-E72D297353CC}">
                <c16:uniqueId val="{00000003-85AE-4E45-9FC0-E753957551E7}"/>
              </c:ext>
            </c:extLst>
          </c:dPt>
          <c:dPt>
            <c:idx val="2"/>
            <c:bubble3D val="0"/>
            <c:spPr>
              <a:solidFill>
                <a:schemeClr val="accent3"/>
              </a:solidFill>
              <a:ln>
                <a:noFill/>
              </a:ln>
              <a:effectLst/>
              <a:sp3d/>
            </c:spPr>
            <c:extLst>
              <c:ext xmlns:c16="http://schemas.microsoft.com/office/drawing/2014/chart" uri="{C3380CC4-5D6E-409C-BE32-E72D297353CC}">
                <c16:uniqueId val="{00000005-85AE-4E45-9FC0-E753957551E7}"/>
              </c:ext>
            </c:extLst>
          </c:dPt>
          <c:cat>
            <c:strRef>
              <c:f>'Number 2'!$A$4:$A$7</c:f>
              <c:strCache>
                <c:ptCount val="3"/>
                <c:pt idx="0">
                  <c:v> Santa Fe        </c:v>
                </c:pt>
                <c:pt idx="1">
                  <c:v> Vios            </c:v>
                </c:pt>
                <c:pt idx="2">
                  <c:v> X-Trail         </c:v>
                </c:pt>
              </c:strCache>
            </c:strRef>
          </c:cat>
          <c:val>
            <c:numRef>
              <c:f>'Number 2'!$B$4:$B$7</c:f>
              <c:numCache>
                <c:formatCode>General</c:formatCode>
                <c:ptCount val="3"/>
                <c:pt idx="0">
                  <c:v>40</c:v>
                </c:pt>
                <c:pt idx="1">
                  <c:v>30</c:v>
                </c:pt>
                <c:pt idx="2">
                  <c:v>37</c:v>
                </c:pt>
              </c:numCache>
            </c:numRef>
          </c:val>
          <c:extLst>
            <c:ext xmlns:c16="http://schemas.microsoft.com/office/drawing/2014/chart" uri="{C3380CC4-5D6E-409C-BE32-E72D297353CC}">
              <c16:uniqueId val="{00000000-30ED-46FF-9CC6-38E038D031D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s>
    <c:view3D>
      <c:rotX val="40"/>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sp3d/>
            </c:spPr>
            <c:extLst>
              <c:ext xmlns:c16="http://schemas.microsoft.com/office/drawing/2014/chart" uri="{C3380CC4-5D6E-409C-BE32-E72D297353CC}">
                <c16:uniqueId val="{00000001-31BC-4717-B497-6A2A1DA51C38}"/>
              </c:ext>
            </c:extLst>
          </c:dPt>
          <c:dPt>
            <c:idx val="1"/>
            <c:bubble3D val="0"/>
            <c:spPr>
              <a:solidFill>
                <a:schemeClr val="accent2"/>
              </a:solidFill>
              <a:ln>
                <a:noFill/>
              </a:ln>
              <a:effectLst/>
              <a:sp3d/>
            </c:spPr>
            <c:extLst>
              <c:ext xmlns:c16="http://schemas.microsoft.com/office/drawing/2014/chart" uri="{C3380CC4-5D6E-409C-BE32-E72D297353CC}">
                <c16:uniqueId val="{00000003-31BC-4717-B497-6A2A1DA51C38}"/>
              </c:ext>
            </c:extLst>
          </c:dPt>
          <c:dPt>
            <c:idx val="2"/>
            <c:bubble3D val="0"/>
            <c:spPr>
              <a:solidFill>
                <a:schemeClr val="accent3"/>
              </a:solidFill>
              <a:ln>
                <a:noFill/>
              </a:ln>
              <a:effectLst/>
              <a:sp3d/>
            </c:spPr>
            <c:extLst>
              <c:ext xmlns:c16="http://schemas.microsoft.com/office/drawing/2014/chart" uri="{C3380CC4-5D6E-409C-BE32-E72D297353CC}">
                <c16:uniqueId val="{00000005-31BC-4717-B497-6A2A1DA51C38}"/>
              </c:ext>
            </c:extLst>
          </c:dPt>
          <c:cat>
            <c:strLit>
              <c:ptCount val="3"/>
              <c:pt idx="0">
                <c:v> Hyundai    </c:v>
              </c:pt>
              <c:pt idx="1">
                <c:v> Mitsubishi </c:v>
              </c:pt>
              <c:pt idx="2">
                <c:v> Nissan     </c:v>
              </c:pt>
            </c:strLit>
          </c:cat>
          <c:val>
            <c:numLit>
              <c:formatCode>General</c:formatCode>
              <c:ptCount val="3"/>
              <c:pt idx="0">
                <c:v>52</c:v>
              </c:pt>
              <c:pt idx="1">
                <c:v>63</c:v>
              </c:pt>
              <c:pt idx="2">
                <c:v>49</c:v>
              </c:pt>
            </c:numLit>
          </c:val>
          <c:extLst>
            <c:ext xmlns:c16="http://schemas.microsoft.com/office/drawing/2014/chart" uri="{C3380CC4-5D6E-409C-BE32-E72D297353CC}">
              <c16:uniqueId val="{00000006-31BC-4717-B497-6A2A1DA51C3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[Lamsin_Activity2 (2).xlsx]Number 3!PivotTable34</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'Number 3'!$B$3</c:f>
              <c:strCache>
                <c:ptCount val="1"/>
                <c:pt idx="0">
                  <c:v>Sum of Quantity</c:v>
                </c:pt>
              </c:strCache>
            </c:strRef>
          </c:tx>
          <c:spPr>
            <a:solidFill>
              <a:schemeClr val="accent1"/>
            </a:solidFill>
            <a:ln>
              <a:noFill/>
            </a:ln>
            <a:effectLst/>
          </c:spPr>
          <c:invertIfNegative val="0"/>
          <c:cat>
            <c:strRef>
              <c:f>'Number 3'!$A$4:$A$12</c:f>
              <c:strCache>
                <c:ptCount val="8"/>
                <c:pt idx="0">
                  <c:v> Ford       </c:v>
                </c:pt>
                <c:pt idx="1">
                  <c:v> Honda      </c:v>
                </c:pt>
                <c:pt idx="2">
                  <c:v> Hyundai    </c:v>
                </c:pt>
                <c:pt idx="3">
                  <c:v> Mazda      </c:v>
                </c:pt>
                <c:pt idx="4">
                  <c:v> Mitsubishi </c:v>
                </c:pt>
                <c:pt idx="5">
                  <c:v> Nissan     </c:v>
                </c:pt>
                <c:pt idx="6">
                  <c:v> Proton     </c:v>
                </c:pt>
                <c:pt idx="7">
                  <c:v> Toyota     </c:v>
                </c:pt>
              </c:strCache>
            </c:strRef>
          </c:cat>
          <c:val>
            <c:numRef>
              <c:f>'Number 3'!$B$4:$B$12</c:f>
              <c:numCache>
                <c:formatCode>General</c:formatCode>
                <c:ptCount val="8"/>
                <c:pt idx="0">
                  <c:v>38</c:v>
                </c:pt>
                <c:pt idx="1">
                  <c:v>42</c:v>
                </c:pt>
                <c:pt idx="2">
                  <c:v>52</c:v>
                </c:pt>
                <c:pt idx="3">
                  <c:v>31</c:v>
                </c:pt>
                <c:pt idx="4">
                  <c:v>63</c:v>
                </c:pt>
                <c:pt idx="5">
                  <c:v>49</c:v>
                </c:pt>
                <c:pt idx="6">
                  <c:v>30</c:v>
                </c:pt>
                <c:pt idx="7">
                  <c:v>42</c:v>
                </c:pt>
              </c:numCache>
            </c:numRef>
          </c:val>
          <c:extLst>
            <c:ext xmlns:c16="http://schemas.microsoft.com/office/drawing/2014/chart" uri="{C3380CC4-5D6E-409C-BE32-E72D297353CC}">
              <c16:uniqueId val="{00000000-23AF-4307-9F66-543ADC594522}"/>
            </c:ext>
          </c:extLst>
        </c:ser>
        <c:dLbls>
          <c:showLegendKey val="0"/>
          <c:showVal val="0"/>
          <c:showCatName val="0"/>
          <c:showSerName val="0"/>
          <c:showPercent val="0"/>
          <c:showBubbleSize val="0"/>
        </c:dLbls>
        <c:gapWidth val="219"/>
        <c:axId val="228667840"/>
        <c:axId val="102577568"/>
      </c:barChart>
      <c:lineChart>
        <c:grouping val="standard"/>
        <c:varyColors val="0"/>
        <c:ser>
          <c:idx val="1"/>
          <c:order val="1"/>
          <c:tx>
            <c:strRef>
              <c:f>'Number 3'!$C$3</c:f>
              <c:strCache>
                <c:ptCount val="1"/>
                <c:pt idx="0">
                  <c:v>Sum of Total Profit</c:v>
                </c:pt>
              </c:strCache>
            </c:strRef>
          </c:tx>
          <c:spPr>
            <a:ln w="28575" cap="rnd">
              <a:solidFill>
                <a:schemeClr val="accent2"/>
              </a:solidFill>
              <a:round/>
            </a:ln>
            <a:effectLst/>
          </c:spPr>
          <c:marker>
            <c:symbol val="none"/>
          </c:marker>
          <c:cat>
            <c:strRef>
              <c:f>'Number 3'!$A$4:$A$12</c:f>
              <c:strCache>
                <c:ptCount val="8"/>
                <c:pt idx="0">
                  <c:v> Ford       </c:v>
                </c:pt>
                <c:pt idx="1">
                  <c:v> Honda      </c:v>
                </c:pt>
                <c:pt idx="2">
                  <c:v> Hyundai    </c:v>
                </c:pt>
                <c:pt idx="3">
                  <c:v> Mazda      </c:v>
                </c:pt>
                <c:pt idx="4">
                  <c:v> Mitsubishi </c:v>
                </c:pt>
                <c:pt idx="5">
                  <c:v> Nissan     </c:v>
                </c:pt>
                <c:pt idx="6">
                  <c:v> Proton     </c:v>
                </c:pt>
                <c:pt idx="7">
                  <c:v> Toyota     </c:v>
                </c:pt>
              </c:strCache>
            </c:strRef>
          </c:cat>
          <c:val>
            <c:numRef>
              <c:f>'Number 3'!$C$4:$C$12</c:f>
              <c:numCache>
                <c:formatCode>General</c:formatCode>
                <c:ptCount val="8"/>
                <c:pt idx="0">
                  <c:v>106500</c:v>
                </c:pt>
                <c:pt idx="1">
                  <c:v>151200</c:v>
                </c:pt>
                <c:pt idx="2">
                  <c:v>169800</c:v>
                </c:pt>
                <c:pt idx="3">
                  <c:v>74400</c:v>
                </c:pt>
                <c:pt idx="4">
                  <c:v>145600</c:v>
                </c:pt>
                <c:pt idx="5">
                  <c:v>98600</c:v>
                </c:pt>
                <c:pt idx="6">
                  <c:v>119600</c:v>
                </c:pt>
                <c:pt idx="7">
                  <c:v>71500</c:v>
                </c:pt>
              </c:numCache>
            </c:numRef>
          </c:val>
          <c:smooth val="0"/>
          <c:extLst>
            <c:ext xmlns:c16="http://schemas.microsoft.com/office/drawing/2014/chart" uri="{C3380CC4-5D6E-409C-BE32-E72D297353CC}">
              <c16:uniqueId val="{00000001-23AF-4307-9F66-543ADC594522}"/>
            </c:ext>
          </c:extLst>
        </c:ser>
        <c:dLbls>
          <c:showLegendKey val="0"/>
          <c:showVal val="0"/>
          <c:showCatName val="0"/>
          <c:showSerName val="0"/>
          <c:showPercent val="0"/>
          <c:showBubbleSize val="0"/>
        </c:dLbls>
        <c:marker val="1"/>
        <c:smooth val="0"/>
        <c:axId val="179840880"/>
        <c:axId val="1565572672"/>
      </c:lineChart>
      <c:catAx>
        <c:axId val="2286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7568"/>
        <c:crosses val="autoZero"/>
        <c:auto val="1"/>
        <c:lblAlgn val="ctr"/>
        <c:lblOffset val="100"/>
        <c:noMultiLvlLbl val="0"/>
      </c:catAx>
      <c:valAx>
        <c:axId val="10257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67840"/>
        <c:crosses val="autoZero"/>
        <c:crossBetween val="between"/>
      </c:valAx>
      <c:valAx>
        <c:axId val="1565572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0880"/>
        <c:crosses val="max"/>
        <c:crossBetween val="between"/>
      </c:valAx>
      <c:catAx>
        <c:axId val="179840880"/>
        <c:scaling>
          <c:orientation val="minMax"/>
        </c:scaling>
        <c:delete val="1"/>
        <c:axPos val="b"/>
        <c:numFmt formatCode="General" sourceLinked="1"/>
        <c:majorTickMark val="out"/>
        <c:minorTickMark val="none"/>
        <c:tickLblPos val="nextTo"/>
        <c:crossAx val="1565572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[Lamsin_Activity2 (2).xlsx]Number 4!PivotTable32</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'Number 4'!$B$1</c:f>
              <c:strCache>
                <c:ptCount val="1"/>
                <c:pt idx="0">
                  <c:v>Sum of Total Profit</c:v>
                </c:pt>
              </c:strCache>
            </c:strRef>
          </c:tx>
          <c:spPr>
            <a:solidFill>
              <a:schemeClr val="accent1"/>
            </a:solidFill>
            <a:ln>
              <a:noFill/>
            </a:ln>
            <a:effectLst/>
            <a:sp3d/>
          </c:spPr>
          <c:invertIfNegative val="0"/>
          <c:cat>
            <c:multiLvlStrRef>
              <c:f>'Number 4'!$A$2:$A$22</c:f>
              <c:multiLvlStrCache>
                <c:ptCount val="10"/>
                <c:lvl>
                  <c:pt idx="0">
                    <c:v> Bacolod Autos    </c:v>
                  </c:pt>
                  <c:pt idx="1">
                    <c:v> Cebu Cars        </c:v>
                  </c:pt>
                  <c:pt idx="2">
                    <c:v> Davao Dealers    </c:v>
                  </c:pt>
                  <c:pt idx="3">
                    <c:v> XYZ Cars         </c:v>
                  </c:pt>
                  <c:pt idx="4">
                    <c:v> Iloilo Motors    </c:v>
                  </c:pt>
                  <c:pt idx="5">
                    <c:v> ABC Motors       </c:v>
                  </c:pt>
                  <c:pt idx="6">
                    <c:v> Manila Motors    </c:v>
                  </c:pt>
                  <c:pt idx="7">
                    <c:v> Quezon Vehicles  </c:v>
                  </c:pt>
                  <c:pt idx="8">
                    <c:v> Singapore Autos  </c:v>
                  </c:pt>
                  <c:pt idx="9">
                    <c:v> Zamboanga Cars   </c:v>
                  </c:pt>
                </c:lvl>
                <c:lvl>
                  <c:pt idx="0">
                    <c:v> Bacolod City   </c:v>
                  </c:pt>
                  <c:pt idx="1">
                    <c:v> Cebu City      </c:v>
                  </c:pt>
                  <c:pt idx="2">
                    <c:v> Davao City     </c:v>
                  </c:pt>
                  <c:pt idx="3">
                    <c:v> George Town     </c:v>
                  </c:pt>
                  <c:pt idx="4">
                    <c:v> Iloilo City    </c:v>
                  </c:pt>
                  <c:pt idx="5">
                    <c:v> Kuala Lumpur   </c:v>
                  </c:pt>
                  <c:pt idx="6">
                    <c:v> Manila         </c:v>
                  </c:pt>
                  <c:pt idx="7">
                    <c:v> Quezon City    </c:v>
                  </c:pt>
                  <c:pt idx="8">
                    <c:v> Singapore      </c:v>
                  </c:pt>
                  <c:pt idx="9">
                    <c:v> Zamboanga City </c:v>
                  </c:pt>
                </c:lvl>
              </c:multiLvlStrCache>
            </c:multiLvlStrRef>
          </c:cat>
          <c:val>
            <c:numRef>
              <c:f>'Number 4'!$B$2:$B$22</c:f>
              <c:numCache>
                <c:formatCode>General</c:formatCode>
                <c:ptCount val="10"/>
                <c:pt idx="0">
                  <c:v>115600</c:v>
                </c:pt>
                <c:pt idx="1">
                  <c:v>120200</c:v>
                </c:pt>
                <c:pt idx="2">
                  <c:v>67800</c:v>
                </c:pt>
                <c:pt idx="3">
                  <c:v>81000</c:v>
                </c:pt>
                <c:pt idx="4">
                  <c:v>166900</c:v>
                </c:pt>
                <c:pt idx="5">
                  <c:v>85900</c:v>
                </c:pt>
                <c:pt idx="6">
                  <c:v>64500</c:v>
                </c:pt>
                <c:pt idx="7">
                  <c:v>75600</c:v>
                </c:pt>
                <c:pt idx="8">
                  <c:v>64200</c:v>
                </c:pt>
                <c:pt idx="9">
                  <c:v>95500</c:v>
                </c:pt>
              </c:numCache>
            </c:numRef>
          </c:val>
          <c:extLst>
            <c:ext xmlns:c16="http://schemas.microsoft.com/office/drawing/2014/chart" uri="{C3380CC4-5D6E-409C-BE32-E72D297353CC}">
              <c16:uniqueId val="{00000000-E109-489D-AA86-327AEA279364}"/>
            </c:ext>
          </c:extLst>
        </c:ser>
        <c:ser>
          <c:idx val="1"/>
          <c:order val="1"/>
          <c:tx>
            <c:strRef>
              <c:f>'Number 4'!$C$1</c:f>
              <c:strCache>
                <c:ptCount val="1"/>
                <c:pt idx="0">
                  <c:v>Sum of TotalPrice</c:v>
                </c:pt>
              </c:strCache>
            </c:strRef>
          </c:tx>
          <c:spPr>
            <a:solidFill>
              <a:schemeClr val="accent2"/>
            </a:solidFill>
            <a:ln>
              <a:noFill/>
            </a:ln>
            <a:effectLst/>
            <a:sp3d/>
          </c:spPr>
          <c:invertIfNegative val="0"/>
          <c:cat>
            <c:multiLvlStrRef>
              <c:f>'Number 4'!$A$2:$A$22</c:f>
              <c:multiLvlStrCache>
                <c:ptCount val="10"/>
                <c:lvl>
                  <c:pt idx="0">
                    <c:v> Bacolod Autos    </c:v>
                  </c:pt>
                  <c:pt idx="1">
                    <c:v> Cebu Cars        </c:v>
                  </c:pt>
                  <c:pt idx="2">
                    <c:v> Davao Dealers    </c:v>
                  </c:pt>
                  <c:pt idx="3">
                    <c:v> XYZ Cars         </c:v>
                  </c:pt>
                  <c:pt idx="4">
                    <c:v> Iloilo Motors    </c:v>
                  </c:pt>
                  <c:pt idx="5">
                    <c:v> ABC Motors       </c:v>
                  </c:pt>
                  <c:pt idx="6">
                    <c:v> Manila Motors    </c:v>
                  </c:pt>
                  <c:pt idx="7">
                    <c:v> Quezon Vehicles  </c:v>
                  </c:pt>
                  <c:pt idx="8">
                    <c:v> Singapore Autos  </c:v>
                  </c:pt>
                  <c:pt idx="9">
                    <c:v> Zamboanga Cars   </c:v>
                  </c:pt>
                </c:lvl>
                <c:lvl>
                  <c:pt idx="0">
                    <c:v> Bacolod City   </c:v>
                  </c:pt>
                  <c:pt idx="1">
                    <c:v> Cebu City      </c:v>
                  </c:pt>
                  <c:pt idx="2">
                    <c:v> Davao City     </c:v>
                  </c:pt>
                  <c:pt idx="3">
                    <c:v> George Town     </c:v>
                  </c:pt>
                  <c:pt idx="4">
                    <c:v> Iloilo City    </c:v>
                  </c:pt>
                  <c:pt idx="5">
                    <c:v> Kuala Lumpur   </c:v>
                  </c:pt>
                  <c:pt idx="6">
                    <c:v> Manila         </c:v>
                  </c:pt>
                  <c:pt idx="7">
                    <c:v> Quezon City    </c:v>
                  </c:pt>
                  <c:pt idx="8">
                    <c:v> Singapore      </c:v>
                  </c:pt>
                  <c:pt idx="9">
                    <c:v> Zamboanga City </c:v>
                  </c:pt>
                </c:lvl>
              </c:multiLvlStrCache>
            </c:multiLvlStrRef>
          </c:cat>
          <c:val>
            <c:numRef>
              <c:f>'Number 4'!$C$2:$C$22</c:f>
              <c:numCache>
                <c:formatCode>General</c:formatCode>
                <c:ptCount val="10"/>
                <c:pt idx="0">
                  <c:v>915000</c:v>
                </c:pt>
                <c:pt idx="1">
                  <c:v>944000</c:v>
                </c:pt>
                <c:pt idx="2">
                  <c:v>678000</c:v>
                </c:pt>
                <c:pt idx="3">
                  <c:v>696000</c:v>
                </c:pt>
                <c:pt idx="4">
                  <c:v>1323000</c:v>
                </c:pt>
                <c:pt idx="5">
                  <c:v>745000</c:v>
                </c:pt>
                <c:pt idx="6">
                  <c:v>468000</c:v>
                </c:pt>
                <c:pt idx="7">
                  <c:v>575000</c:v>
                </c:pt>
                <c:pt idx="8">
                  <c:v>576000</c:v>
                </c:pt>
                <c:pt idx="9">
                  <c:v>880000</c:v>
                </c:pt>
              </c:numCache>
            </c:numRef>
          </c:val>
          <c:extLst>
            <c:ext xmlns:c16="http://schemas.microsoft.com/office/drawing/2014/chart" uri="{C3380CC4-5D6E-409C-BE32-E72D297353CC}">
              <c16:uniqueId val="{00000002-CBDB-49AB-A8EB-88B9C2FEBC99}"/>
            </c:ext>
          </c:extLst>
        </c:ser>
        <c:dLbls>
          <c:showLegendKey val="0"/>
          <c:showVal val="0"/>
          <c:showCatName val="0"/>
          <c:showSerName val="0"/>
          <c:showPercent val="0"/>
          <c:showBubbleSize val="0"/>
        </c:dLbls>
        <c:gapWidth val="219"/>
        <c:shape val="box"/>
        <c:axId val="925354480"/>
        <c:axId val="107139616"/>
        <c:axId val="0"/>
      </c:bar3DChart>
      <c:catAx>
        <c:axId val="92535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9616"/>
        <c:crosses val="autoZero"/>
        <c:auto val="1"/>
        <c:lblAlgn val="ctr"/>
        <c:lblOffset val="100"/>
        <c:noMultiLvlLbl val="0"/>
      </c:catAx>
      <c:valAx>
        <c:axId val="10713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5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590550</xdr:colOff>
      <xdr:row>1</xdr:row>
      <xdr:rowOff>100012</xdr:rowOff>
    </xdr:from>
    <xdr:to>
      <xdr:col>10</xdr:col>
      <xdr:colOff>285750</xdr:colOff>
      <xdr:row>15</xdr:row>
      <xdr:rowOff>176212</xdr:rowOff>
    </xdr:to>
    <xdr:graphicFrame macro="">
      <xdr:nvGraphicFramePr>
        <xdr:cNvPr id="2" name="Chart 1">
          <a:extLst>
            <a:ext uri="{FF2B5EF4-FFF2-40B4-BE49-F238E27FC236}">
              <a16:creationId xmlns:a16="http://schemas.microsoft.com/office/drawing/2014/main" id="{2F3CB28C-2D07-425E-8E74-FCE5C9DD3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447675</xdr:colOff>
      <xdr:row>2</xdr:row>
      <xdr:rowOff>4762</xdr:rowOff>
    </xdr:from>
    <xdr:to>
      <xdr:col>8</xdr:col>
      <xdr:colOff>161925</xdr:colOff>
      <xdr:row>11</xdr:row>
      <xdr:rowOff>19050</xdr:rowOff>
    </xdr:to>
    <xdr:graphicFrame macro="">
      <xdr:nvGraphicFramePr>
        <xdr:cNvPr id="2" name="Chart 1">
          <a:extLst>
            <a:ext uri="{FF2B5EF4-FFF2-40B4-BE49-F238E27FC236}">
              <a16:creationId xmlns:a16="http://schemas.microsoft.com/office/drawing/2014/main" id="{05E25D3C-FFC0-487D-B326-D5663EC84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604837</xdr:colOff>
      <xdr:row>3</xdr:row>
      <xdr:rowOff>23812</xdr:rowOff>
    </xdr:from>
    <xdr:to>
      <xdr:col>19</xdr:col>
      <xdr:colOff>0</xdr:colOff>
      <xdr:row>12</xdr:row>
      <xdr:rowOff>133350</xdr:rowOff>
    </xdr:to>
    <xdr:graphicFrame macro="">
      <xdr:nvGraphicFramePr>
        <xdr:cNvPr id="3" name="Chart 2">
          <a:extLst>
            <a:ext uri="{FF2B5EF4-FFF2-40B4-BE49-F238E27FC236}">
              <a16:creationId xmlns:a16="http://schemas.microsoft.com/office/drawing/2014/main" id="{974757F6-7478-4D5D-9401-14350C0B9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495300</xdr:colOff>
      <xdr:row>1</xdr:row>
      <xdr:rowOff>157162</xdr:rowOff>
    </xdr:from>
    <xdr:to>
      <xdr:col>12</xdr:col>
      <xdr:colOff>190500</xdr:colOff>
      <xdr:row>16</xdr:row>
      <xdr:rowOff>42862</xdr:rowOff>
    </xdr:to>
    <xdr:graphicFrame macro="">
      <xdr:nvGraphicFramePr>
        <xdr:cNvPr id="2" name="Chart 1">
          <a:extLst>
            <a:ext uri="{FF2B5EF4-FFF2-40B4-BE49-F238E27FC236}">
              <a16:creationId xmlns:a16="http://schemas.microsoft.com/office/drawing/2014/main" id="{174C077F-2878-45B8-B2B4-2517B1AB4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9523</xdr:colOff>
      <xdr:row>0</xdr:row>
      <xdr:rowOff>171450</xdr:rowOff>
    </xdr:from>
    <xdr:to>
      <xdr:col>19</xdr:col>
      <xdr:colOff>28574</xdr:colOff>
      <xdr:row>27</xdr:row>
      <xdr:rowOff>57150</xdr:rowOff>
    </xdr:to>
    <xdr:graphicFrame macro="">
      <xdr:nvGraphicFramePr>
        <xdr:cNvPr id="2" name="Chart 1">
          <a:extLst>
            <a:ext uri="{FF2B5EF4-FFF2-40B4-BE49-F238E27FC236}">
              <a16:creationId xmlns:a16="http://schemas.microsoft.com/office/drawing/2014/main" id="{41066E06-7731-4581-856C-41059A437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Micku Estilong Lamsin" refreshedDate="45692.57893009259" createdVersion="6" refreshedVersion="6" minRefreshableVersion="3" recordCount="220" xr:uid="{3B6FD1EF-0F73-4A7F-A6A1-3C3DBE1C10AA}">
  <cacheSource type="worksheet">
    <worksheetSource ref="A1:J1048576" sheet="Sales"/>
  </cacheSource>
  <cacheFields count="10">
    <cacheField name="SaleID" numFmtId="0">
      <sharedItems containsString="0" containsBlank="1" containsNumber="1" containsInteger="1" minValue="1" maxValue="218"/>
    </cacheField>
    <cacheField name="Date" numFmtId="0">
      <sharedItems containsNonDate="0" containsDate="1" containsString="0" containsBlank="1" minDate="2022-01-05T00:00:00" maxDate="2022-12-30T00:00:00"/>
    </cacheField>
    <cacheField name="DealerID" numFmtId="0">
      <sharedItems containsString="0" containsBlank="1" containsNumber="1" containsInteger="1" minValue="1" maxValue="10"/>
    </cacheField>
    <cacheField name="ModelID" numFmtId="0">
      <sharedItems containsString="0" containsBlank="1" containsNumber="1" containsInteger="1" minValue="1" maxValue="15"/>
    </cacheField>
    <cacheField name="Quantity" numFmtId="0">
      <sharedItems containsString="0" containsBlank="1" containsNumber="1" containsInteger="1" minValue="1" maxValue="3"/>
    </cacheField>
    <cacheField name="TotalPrice" numFmtId="0">
      <sharedItems containsString="0" containsBlank="1" containsNumber="1" containsInteger="1" minValue="12000" maxValue="102000"/>
    </cacheField>
    <cacheField name="Total Profit" numFmtId="0">
      <sharedItems containsString="0" containsBlank="1" containsNumber="1" containsInteger="1" minValue="1200" maxValue="15000"/>
    </cacheField>
    <cacheField name="Country" numFmtId="0">
      <sharedItems containsBlank="1" count="4">
        <s v=" Philippines  "/>
        <s v=" Malaysia     "/>
        <s v=" Singapore    "/>
        <m/>
      </sharedItems>
    </cacheField>
    <cacheField name="Cars" numFmtId="0">
      <sharedItems containsBlank="1"/>
    </cacheField>
    <cacheField name="Brands" numFmtId="0">
      <sharedItems containsBlank="1" count="9">
        <s v=" Mitsubishi "/>
        <s v=" Ford       "/>
        <s v=" Honda      "/>
        <s v=" Nissan     "/>
        <s v=" Hyundai    "/>
        <s v=" Proton     "/>
        <s v=" Toyota     "/>
        <s v=" Mazda      "/>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Micku Estilong Lamsin" refreshedDate="45692.583401504628" createdVersion="6" refreshedVersion="6" minRefreshableVersion="3" recordCount="220" xr:uid="{B91FFE5A-B0EE-4334-AA82-153FFBDD80CF}">
  <cacheSource type="worksheet">
    <worksheetSource ref="A1:L1048576" sheet="Sales"/>
  </cacheSource>
  <cacheFields count="12">
    <cacheField name="SaleID" numFmtId="0">
      <sharedItems containsString="0" containsBlank="1" containsNumber="1" containsInteger="1" minValue="1" maxValue="218"/>
    </cacheField>
    <cacheField name="Date" numFmtId="0">
      <sharedItems containsNonDate="0" containsDate="1" containsString="0" containsBlank="1" minDate="2022-01-05T00:00:00" maxDate="2022-12-30T00:00:00"/>
    </cacheField>
    <cacheField name="DealerID" numFmtId="0">
      <sharedItems containsString="0" containsBlank="1" containsNumber="1" containsInteger="1" minValue="1" maxValue="10"/>
    </cacheField>
    <cacheField name="ModelID" numFmtId="0">
      <sharedItems containsString="0" containsBlank="1" containsNumber="1" containsInteger="1" minValue="1" maxValue="15"/>
    </cacheField>
    <cacheField name="Quantity" numFmtId="0">
      <sharedItems containsString="0" containsBlank="1" containsNumber="1" containsInteger="1" minValue="1" maxValue="3"/>
    </cacheField>
    <cacheField name="TotalPrice" numFmtId="0">
      <sharedItems containsString="0" containsBlank="1" containsNumber="1" containsInteger="1" minValue="12000" maxValue="102000"/>
    </cacheField>
    <cacheField name="Total Profit" numFmtId="0">
      <sharedItems containsString="0" containsBlank="1" containsNumber="1" containsInteger="1" minValue="1200" maxValue="15000"/>
    </cacheField>
    <cacheField name="Country" numFmtId="0">
      <sharedItems containsBlank="1"/>
    </cacheField>
    <cacheField name="Cars" numFmtId="0">
      <sharedItems containsBlank="1"/>
    </cacheField>
    <cacheField name="Brands" numFmtId="0">
      <sharedItems containsBlank="1" count="9">
        <s v=" Toyota     "/>
        <s v=" Mitsubishi "/>
        <s v=" Proton     "/>
        <s v=" Honda      "/>
        <s v=" Nissan     "/>
        <s v=" Mazda      "/>
        <s v=" Ford       "/>
        <s v=" Hyundai    "/>
        <m/>
      </sharedItems>
    </cacheField>
    <cacheField name="City" numFmtId="0">
      <sharedItems containsBlank="1" count="11">
        <s v=" Davao City     "/>
        <s v=" Manila         "/>
        <s v=" Cebu City      "/>
        <s v=" Quezon City    "/>
        <s v=" Bacolod City   "/>
        <s v=" George Town     "/>
        <s v=" Kuala Lumpur   "/>
        <s v=" Iloilo City    "/>
        <s v=" Singapore      "/>
        <s v=" Zamboanga City "/>
        <m/>
      </sharedItems>
    </cacheField>
    <cacheField name="Dealer" numFmtId="0">
      <sharedItems containsBlank="1" count="11">
        <s v=" Davao Dealers    "/>
        <s v=" Manila Motors    "/>
        <s v=" Cebu Cars        "/>
        <s v=" Quezon Vehicles  "/>
        <s v=" Bacolod Autos    "/>
        <s v=" XYZ Cars         "/>
        <s v=" ABC Motors       "/>
        <s v=" Iloilo Motors    "/>
        <s v=" Singapore Autos  "/>
        <s v=" Zamboanga Cars   "/>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Micku Estilong Lamsin" refreshedDate="45692.594484374997" createdVersion="6" refreshedVersion="6" minRefreshableVersion="3" recordCount="218" xr:uid="{A2F4249D-7DF5-4770-84BF-DADFD7E3EEC0}">
  <cacheSource type="worksheet">
    <worksheetSource name="Table2"/>
  </cacheSource>
  <cacheFields count="12">
    <cacheField name="SaleID" numFmtId="0">
      <sharedItems containsSemiMixedTypes="0" containsString="0" containsNumber="1" containsInteger="1" minValue="1" maxValue="218"/>
    </cacheField>
    <cacheField name="Date" numFmtId="14">
      <sharedItems containsSemiMixedTypes="0" containsNonDate="0" containsDate="1" containsString="0" minDate="2022-01-05T00:00:00" maxDate="2022-12-30T00:00:00"/>
    </cacheField>
    <cacheField name="DealerID" numFmtId="0">
      <sharedItems containsSemiMixedTypes="0" containsString="0" containsNumber="1" containsInteger="1" minValue="1" maxValue="10"/>
    </cacheField>
    <cacheField name="ModelID" numFmtId="0">
      <sharedItems containsSemiMixedTypes="0" containsString="0" containsNumber="1" containsInteger="1" minValue="1" maxValue="15"/>
    </cacheField>
    <cacheField name="Quantity" numFmtId="0">
      <sharedItems containsSemiMixedTypes="0" containsString="0" containsNumber="1" containsInteger="1" minValue="1" maxValue="3"/>
    </cacheField>
    <cacheField name="TotalPrice" numFmtId="0">
      <sharedItems containsSemiMixedTypes="0" containsString="0" containsNumber="1" containsInteger="1" minValue="12000" maxValue="102000"/>
    </cacheField>
    <cacheField name="Total Profit" numFmtId="0">
      <sharedItems containsSemiMixedTypes="0" containsString="0" containsNumber="1" containsInteger="1" minValue="1200" maxValue="15000"/>
    </cacheField>
    <cacheField name="Country" numFmtId="0">
      <sharedItems/>
    </cacheField>
    <cacheField name="Cars" numFmtId="0">
      <sharedItems count="15">
        <s v=" CR-V            "/>
        <s v=" Corolla Altis   "/>
        <s v=" Santa Fe        "/>
        <s v=" Civic           "/>
        <s v=" Everest         "/>
        <s v=" X-Trail         "/>
        <s v=" Xpander         "/>
        <s v=" Accent          "/>
        <s v=" Outlander       "/>
        <s v=" Vios            "/>
        <s v=" Ranger          "/>
        <s v=" Mazda3          "/>
        <s v=" Almera          "/>
        <s v=" Persona         "/>
        <s v=" X70             "/>
      </sharedItems>
    </cacheField>
    <cacheField name="Brands" numFmtId="0">
      <sharedItems count="8">
        <s v=" Honda      "/>
        <s v=" Toyota     "/>
        <s v=" Hyundai    "/>
        <s v=" Ford       "/>
        <s v=" Nissan     "/>
        <s v=" Mitsubishi "/>
        <s v=" Mazda      "/>
        <s v=" Proton     "/>
      </sharedItems>
    </cacheField>
    <cacheField name="City" numFmtId="0">
      <sharedItems/>
    </cacheField>
    <cacheField name="Deal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d v="2022-01-05T00:00:00"/>
    <n v="6"/>
    <n v="9"/>
    <n v="1"/>
    <n v="18000"/>
    <n v="1800"/>
    <x v="0"/>
    <s v=" Xpander         "/>
    <x v="0"/>
  </r>
  <r>
    <n v="2"/>
    <d v="2022-01-08T00:00:00"/>
    <n v="6"/>
    <n v="5"/>
    <n v="1"/>
    <n v="25000"/>
    <n v="2500"/>
    <x v="0"/>
    <s v=" Ranger          "/>
    <x v="1"/>
  </r>
  <r>
    <n v="3"/>
    <d v="2022-02-12T00:00:00"/>
    <n v="1"/>
    <n v="3"/>
    <n v="2"/>
    <n v="44000"/>
    <n v="8800"/>
    <x v="1"/>
    <s v=" Civic           "/>
    <x v="2"/>
  </r>
  <r>
    <n v="4"/>
    <d v="2022-02-22T00:00:00"/>
    <n v="6"/>
    <n v="10"/>
    <n v="1"/>
    <n v="32000"/>
    <n v="3200"/>
    <x v="0"/>
    <s v=" Outlander       "/>
    <x v="0"/>
  </r>
  <r>
    <n v="5"/>
    <d v="2022-03-01T00:00:00"/>
    <n v="2"/>
    <n v="10"/>
    <n v="3"/>
    <n v="96000"/>
    <n v="9600"/>
    <x v="1"/>
    <s v=" Outlander       "/>
    <x v="0"/>
  </r>
  <r>
    <n v="6"/>
    <d v="2022-03-08T00:00:00"/>
    <n v="3"/>
    <n v="7"/>
    <n v="1"/>
    <n v="14000"/>
    <n v="1400"/>
    <x v="2"/>
    <s v=" Almera          "/>
    <x v="3"/>
  </r>
  <r>
    <n v="7"/>
    <d v="2022-03-09T00:00:00"/>
    <n v="9"/>
    <n v="3"/>
    <n v="2"/>
    <n v="44000"/>
    <n v="8800"/>
    <x v="0"/>
    <s v=" Civic           "/>
    <x v="2"/>
  </r>
  <r>
    <n v="8"/>
    <d v="2022-03-10T00:00:00"/>
    <n v="2"/>
    <n v="11"/>
    <n v="1"/>
    <n v="16000"/>
    <n v="3200"/>
    <x v="1"/>
    <s v=" Accent          "/>
    <x v="4"/>
  </r>
  <r>
    <n v="9"/>
    <d v="2022-03-11T00:00:00"/>
    <n v="7"/>
    <n v="14"/>
    <n v="1"/>
    <n v="25000"/>
    <n v="5000"/>
    <x v="0"/>
    <s v=" X70             "/>
    <x v="5"/>
  </r>
  <r>
    <n v="10"/>
    <d v="2022-03-12T00:00:00"/>
    <n v="6"/>
    <n v="11"/>
    <n v="2"/>
    <n v="32000"/>
    <n v="6400"/>
    <x v="0"/>
    <s v=" Accent          "/>
    <x v="4"/>
  </r>
  <r>
    <n v="11"/>
    <d v="2022-03-15T00:00:00"/>
    <n v="10"/>
    <n v="3"/>
    <n v="1"/>
    <n v="22000"/>
    <n v="4400"/>
    <x v="0"/>
    <s v=" Civic           "/>
    <x v="2"/>
  </r>
  <r>
    <n v="12"/>
    <d v="2022-03-16T00:00:00"/>
    <n v="4"/>
    <n v="8"/>
    <n v="1"/>
    <n v="26000"/>
    <n v="2600"/>
    <x v="0"/>
    <s v=" X-Trail         "/>
    <x v="3"/>
  </r>
  <r>
    <n v="13"/>
    <d v="2022-03-17T00:00:00"/>
    <n v="9"/>
    <n v="3"/>
    <n v="2"/>
    <n v="44000"/>
    <n v="8800"/>
    <x v="0"/>
    <s v=" Civic           "/>
    <x v="2"/>
  </r>
  <r>
    <n v="14"/>
    <d v="2022-03-18T00:00:00"/>
    <n v="4"/>
    <n v="11"/>
    <n v="1"/>
    <n v="16000"/>
    <n v="3200"/>
    <x v="0"/>
    <s v=" Accent          "/>
    <x v="4"/>
  </r>
  <r>
    <n v="15"/>
    <d v="2022-03-19T00:00:00"/>
    <n v="4"/>
    <n v="3"/>
    <n v="2"/>
    <n v="44000"/>
    <n v="8800"/>
    <x v="0"/>
    <s v=" Civic           "/>
    <x v="2"/>
  </r>
  <r>
    <n v="16"/>
    <d v="2022-03-22T00:00:00"/>
    <n v="10"/>
    <n v="6"/>
    <n v="1"/>
    <n v="30000"/>
    <n v="3000"/>
    <x v="0"/>
    <s v=" Everest         "/>
    <x v="1"/>
  </r>
  <r>
    <n v="17"/>
    <d v="2022-03-23T00:00:00"/>
    <n v="4"/>
    <n v="2"/>
    <n v="1"/>
    <n v="20000"/>
    <n v="2000"/>
    <x v="0"/>
    <s v=" Corolla Altis   "/>
    <x v="6"/>
  </r>
  <r>
    <n v="18"/>
    <d v="2022-03-24T00:00:00"/>
    <n v="5"/>
    <n v="13"/>
    <n v="3"/>
    <n v="36000"/>
    <n v="3600"/>
    <x v="0"/>
    <s v=" Persona         "/>
    <x v="5"/>
  </r>
  <r>
    <n v="19"/>
    <d v="2022-03-25T00:00:00"/>
    <n v="6"/>
    <n v="3"/>
    <n v="1"/>
    <n v="22000"/>
    <n v="4400"/>
    <x v="0"/>
    <s v=" Civic           "/>
    <x v="2"/>
  </r>
  <r>
    <n v="20"/>
    <d v="2022-03-26T00:00:00"/>
    <n v="8"/>
    <n v="2"/>
    <n v="1"/>
    <n v="20000"/>
    <n v="2000"/>
    <x v="0"/>
    <s v=" Corolla Altis   "/>
    <x v="6"/>
  </r>
  <r>
    <n v="21"/>
    <d v="2022-03-29T00:00:00"/>
    <n v="8"/>
    <n v="13"/>
    <n v="2"/>
    <n v="24000"/>
    <n v="2400"/>
    <x v="0"/>
    <s v=" Persona         "/>
    <x v="5"/>
  </r>
  <r>
    <n v="22"/>
    <d v="2022-03-30T00:00:00"/>
    <n v="4"/>
    <n v="3"/>
    <n v="1"/>
    <n v="22000"/>
    <n v="4400"/>
    <x v="0"/>
    <s v=" Civic           "/>
    <x v="2"/>
  </r>
  <r>
    <n v="23"/>
    <d v="2022-03-31T00:00:00"/>
    <n v="2"/>
    <n v="9"/>
    <n v="3"/>
    <n v="54000"/>
    <n v="5400"/>
    <x v="1"/>
    <s v=" Xpander         "/>
    <x v="0"/>
  </r>
  <r>
    <n v="24"/>
    <d v="2022-04-01T00:00:00"/>
    <n v="7"/>
    <n v="1"/>
    <n v="1"/>
    <n v="15000"/>
    <n v="1500"/>
    <x v="0"/>
    <s v=" Vios            "/>
    <x v="6"/>
  </r>
  <r>
    <n v="25"/>
    <d v="2022-04-02T00:00:00"/>
    <n v="4"/>
    <n v="14"/>
    <n v="2"/>
    <n v="50000"/>
    <n v="10000"/>
    <x v="0"/>
    <s v=" X70             "/>
    <x v="5"/>
  </r>
  <r>
    <n v="26"/>
    <d v="2022-04-05T00:00:00"/>
    <n v="7"/>
    <n v="5"/>
    <n v="1"/>
    <n v="25000"/>
    <n v="2500"/>
    <x v="0"/>
    <s v=" Ranger          "/>
    <x v="1"/>
  </r>
  <r>
    <n v="27"/>
    <d v="2022-04-06T00:00:00"/>
    <n v="1"/>
    <n v="3"/>
    <n v="1"/>
    <n v="22000"/>
    <n v="4400"/>
    <x v="1"/>
    <s v=" Civic           "/>
    <x v="2"/>
  </r>
  <r>
    <n v="28"/>
    <d v="2022-04-07T00:00:00"/>
    <n v="4"/>
    <n v="8"/>
    <n v="3"/>
    <n v="78000"/>
    <n v="7800"/>
    <x v="0"/>
    <s v=" X-Trail         "/>
    <x v="3"/>
  </r>
  <r>
    <n v="29"/>
    <d v="2022-04-08T00:00:00"/>
    <n v="2"/>
    <n v="4"/>
    <n v="1"/>
    <n v="28000"/>
    <n v="2800"/>
    <x v="1"/>
    <s v=" CR-V            "/>
    <x v="2"/>
  </r>
  <r>
    <n v="30"/>
    <d v="2022-04-09T00:00:00"/>
    <n v="9"/>
    <n v="15"/>
    <n v="1"/>
    <n v="24000"/>
    <n v="2400"/>
    <x v="0"/>
    <s v=" Mazda3          "/>
    <x v="7"/>
  </r>
  <r>
    <n v="31"/>
    <d v="2022-04-12T00:00:00"/>
    <n v="6"/>
    <n v="8"/>
    <n v="2"/>
    <n v="52000"/>
    <n v="5200"/>
    <x v="0"/>
    <s v=" X-Trail         "/>
    <x v="3"/>
  </r>
  <r>
    <n v="32"/>
    <d v="2022-04-13T00:00:00"/>
    <n v="3"/>
    <n v="15"/>
    <n v="1"/>
    <n v="24000"/>
    <n v="2400"/>
    <x v="2"/>
    <s v=" Mazda3          "/>
    <x v="7"/>
  </r>
  <r>
    <n v="33"/>
    <d v="2022-04-14T00:00:00"/>
    <n v="9"/>
    <n v="1"/>
    <n v="3"/>
    <n v="45000"/>
    <n v="4500"/>
    <x v="0"/>
    <s v=" Vios            "/>
    <x v="6"/>
  </r>
  <r>
    <n v="34"/>
    <d v="2022-04-15T00:00:00"/>
    <n v="8"/>
    <n v="12"/>
    <n v="1"/>
    <n v="34000"/>
    <n v="3400"/>
    <x v="0"/>
    <s v=" Santa Fe        "/>
    <x v="4"/>
  </r>
  <r>
    <n v="35"/>
    <d v="2022-04-16T00:00:00"/>
    <n v="8"/>
    <n v="4"/>
    <n v="2"/>
    <n v="56000"/>
    <n v="5600"/>
    <x v="0"/>
    <s v=" CR-V            "/>
    <x v="2"/>
  </r>
  <r>
    <n v="36"/>
    <d v="2022-04-19T00:00:00"/>
    <n v="2"/>
    <n v="5"/>
    <n v="1"/>
    <n v="25000"/>
    <n v="2500"/>
    <x v="1"/>
    <s v=" Ranger          "/>
    <x v="1"/>
  </r>
  <r>
    <n v="37"/>
    <d v="2022-04-20T00:00:00"/>
    <n v="4"/>
    <n v="9"/>
    <n v="1"/>
    <n v="18000"/>
    <n v="1800"/>
    <x v="0"/>
    <s v=" Xpander         "/>
    <x v="0"/>
  </r>
  <r>
    <n v="38"/>
    <d v="2022-04-21T00:00:00"/>
    <n v="9"/>
    <n v="14"/>
    <n v="3"/>
    <n v="75000"/>
    <n v="15000"/>
    <x v="0"/>
    <s v=" X70             "/>
    <x v="5"/>
  </r>
  <r>
    <n v="39"/>
    <d v="2022-04-22T00:00:00"/>
    <n v="2"/>
    <n v="1"/>
    <n v="1"/>
    <n v="15000"/>
    <n v="1500"/>
    <x v="1"/>
    <s v=" Vios            "/>
    <x v="6"/>
  </r>
  <r>
    <n v="40"/>
    <d v="2022-04-23T00:00:00"/>
    <n v="9"/>
    <n v="8"/>
    <n v="1"/>
    <n v="26000"/>
    <n v="2600"/>
    <x v="0"/>
    <s v=" X-Trail         "/>
    <x v="3"/>
  </r>
  <r>
    <n v="41"/>
    <d v="2022-04-26T00:00:00"/>
    <n v="1"/>
    <n v="11"/>
    <n v="2"/>
    <n v="32000"/>
    <n v="6400"/>
    <x v="1"/>
    <s v=" Accent          "/>
    <x v="4"/>
  </r>
  <r>
    <n v="42"/>
    <d v="2022-04-27T00:00:00"/>
    <n v="3"/>
    <n v="7"/>
    <n v="1"/>
    <n v="14000"/>
    <n v="1400"/>
    <x v="2"/>
    <s v=" Almera          "/>
    <x v="3"/>
  </r>
  <r>
    <n v="43"/>
    <d v="2022-04-28T00:00:00"/>
    <n v="7"/>
    <n v="13"/>
    <n v="3"/>
    <n v="36000"/>
    <n v="3600"/>
    <x v="0"/>
    <s v=" Persona         "/>
    <x v="5"/>
  </r>
  <r>
    <n v="44"/>
    <d v="2022-04-29T00:00:00"/>
    <n v="4"/>
    <n v="5"/>
    <n v="1"/>
    <n v="25000"/>
    <n v="2500"/>
    <x v="0"/>
    <s v=" Ranger          "/>
    <x v="1"/>
  </r>
  <r>
    <n v="45"/>
    <d v="2022-04-30T00:00:00"/>
    <n v="8"/>
    <n v="10"/>
    <n v="2"/>
    <n v="64000"/>
    <n v="6400"/>
    <x v="0"/>
    <s v=" Outlander       "/>
    <x v="0"/>
  </r>
  <r>
    <n v="46"/>
    <d v="2022-05-03T00:00:00"/>
    <n v="5"/>
    <n v="5"/>
    <n v="1"/>
    <n v="25000"/>
    <n v="2500"/>
    <x v="0"/>
    <s v=" Ranger          "/>
    <x v="1"/>
  </r>
  <r>
    <n v="47"/>
    <d v="2022-05-04T00:00:00"/>
    <n v="4"/>
    <n v="8"/>
    <n v="1"/>
    <n v="26000"/>
    <n v="2600"/>
    <x v="0"/>
    <s v=" X-Trail         "/>
    <x v="3"/>
  </r>
  <r>
    <n v="48"/>
    <d v="2022-05-05T00:00:00"/>
    <n v="8"/>
    <n v="11"/>
    <n v="3"/>
    <n v="48000"/>
    <n v="9600"/>
    <x v="0"/>
    <s v=" Accent          "/>
    <x v="4"/>
  </r>
  <r>
    <n v="49"/>
    <d v="2022-05-06T00:00:00"/>
    <n v="9"/>
    <n v="3"/>
    <n v="1"/>
    <n v="22000"/>
    <n v="4400"/>
    <x v="0"/>
    <s v=" Civic           "/>
    <x v="2"/>
  </r>
  <r>
    <n v="50"/>
    <d v="2022-05-07T00:00:00"/>
    <n v="10"/>
    <n v="4"/>
    <n v="1"/>
    <n v="28000"/>
    <n v="2800"/>
    <x v="0"/>
    <s v=" CR-V            "/>
    <x v="2"/>
  </r>
  <r>
    <n v="51"/>
    <d v="2022-05-10T00:00:00"/>
    <n v="4"/>
    <n v="11"/>
    <n v="2"/>
    <n v="32000"/>
    <n v="6400"/>
    <x v="0"/>
    <s v=" Accent          "/>
    <x v="4"/>
  </r>
  <r>
    <n v="52"/>
    <d v="2022-05-11T00:00:00"/>
    <n v="5"/>
    <n v="10"/>
    <n v="1"/>
    <n v="32000"/>
    <n v="3200"/>
    <x v="0"/>
    <s v=" Outlander       "/>
    <x v="0"/>
  </r>
  <r>
    <n v="53"/>
    <d v="2022-05-12T00:00:00"/>
    <n v="3"/>
    <n v="10"/>
    <n v="3"/>
    <n v="96000"/>
    <n v="9600"/>
    <x v="2"/>
    <s v=" Outlander       "/>
    <x v="0"/>
  </r>
  <r>
    <n v="54"/>
    <d v="2022-05-13T00:00:00"/>
    <n v="4"/>
    <n v="12"/>
    <n v="1"/>
    <n v="34000"/>
    <n v="3400"/>
    <x v="0"/>
    <s v=" Santa Fe        "/>
    <x v="4"/>
  </r>
  <r>
    <n v="55"/>
    <d v="2022-05-14T00:00:00"/>
    <n v="3"/>
    <n v="11"/>
    <n v="2"/>
    <n v="32000"/>
    <n v="6400"/>
    <x v="2"/>
    <s v=" Accent          "/>
    <x v="4"/>
  </r>
  <r>
    <n v="56"/>
    <d v="2022-05-17T00:00:00"/>
    <n v="7"/>
    <n v="3"/>
    <n v="1"/>
    <n v="22000"/>
    <n v="4400"/>
    <x v="0"/>
    <s v=" Civic           "/>
    <x v="2"/>
  </r>
  <r>
    <n v="57"/>
    <d v="2022-05-18T00:00:00"/>
    <n v="3"/>
    <n v="15"/>
    <n v="1"/>
    <n v="24000"/>
    <n v="2400"/>
    <x v="2"/>
    <s v=" Mazda3          "/>
    <x v="7"/>
  </r>
  <r>
    <n v="58"/>
    <d v="2022-05-19T00:00:00"/>
    <n v="4"/>
    <n v="12"/>
    <n v="3"/>
    <n v="102000"/>
    <n v="10200"/>
    <x v="0"/>
    <s v=" Santa Fe        "/>
    <x v="4"/>
  </r>
  <r>
    <n v="59"/>
    <d v="2022-05-20T00:00:00"/>
    <n v="4"/>
    <n v="9"/>
    <n v="1"/>
    <n v="18000"/>
    <n v="1800"/>
    <x v="0"/>
    <s v=" Xpander         "/>
    <x v="0"/>
  </r>
  <r>
    <n v="60"/>
    <d v="2022-05-21T00:00:00"/>
    <n v="5"/>
    <n v="15"/>
    <n v="1"/>
    <n v="24000"/>
    <n v="2400"/>
    <x v="0"/>
    <s v=" Mazda3          "/>
    <x v="7"/>
  </r>
  <r>
    <n v="61"/>
    <d v="2022-05-24T00:00:00"/>
    <n v="2"/>
    <n v="2"/>
    <n v="2"/>
    <n v="40000"/>
    <n v="4000"/>
    <x v="1"/>
    <s v=" Corolla Altis   "/>
    <x v="6"/>
  </r>
  <r>
    <n v="62"/>
    <d v="2022-05-25T00:00:00"/>
    <n v="9"/>
    <n v="7"/>
    <n v="1"/>
    <n v="14000"/>
    <n v="1400"/>
    <x v="0"/>
    <s v=" Almera          "/>
    <x v="3"/>
  </r>
  <r>
    <n v="63"/>
    <d v="2022-05-26T00:00:00"/>
    <n v="5"/>
    <n v="1"/>
    <n v="3"/>
    <n v="45000"/>
    <n v="4500"/>
    <x v="0"/>
    <s v=" Vios            "/>
    <x v="6"/>
  </r>
  <r>
    <n v="64"/>
    <d v="2022-05-27T00:00:00"/>
    <n v="2"/>
    <n v="7"/>
    <n v="1"/>
    <n v="14000"/>
    <n v="1400"/>
    <x v="1"/>
    <s v=" Almera          "/>
    <x v="3"/>
  </r>
  <r>
    <n v="65"/>
    <d v="2022-05-28T00:00:00"/>
    <n v="3"/>
    <n v="1"/>
    <n v="2"/>
    <n v="30000"/>
    <n v="3000"/>
    <x v="2"/>
    <s v=" Vios            "/>
    <x v="6"/>
  </r>
  <r>
    <n v="66"/>
    <d v="2022-05-31T00:00:00"/>
    <n v="3"/>
    <n v="9"/>
    <n v="1"/>
    <n v="18000"/>
    <n v="1800"/>
    <x v="2"/>
    <s v=" Xpander         "/>
    <x v="0"/>
  </r>
  <r>
    <n v="67"/>
    <d v="2022-06-01T00:00:00"/>
    <n v="5"/>
    <n v="12"/>
    <n v="1"/>
    <n v="34000"/>
    <n v="3400"/>
    <x v="0"/>
    <s v=" Santa Fe        "/>
    <x v="4"/>
  </r>
  <r>
    <n v="68"/>
    <d v="2022-06-02T00:00:00"/>
    <n v="6"/>
    <n v="4"/>
    <n v="3"/>
    <n v="84000"/>
    <n v="8400"/>
    <x v="0"/>
    <s v=" CR-V            "/>
    <x v="2"/>
  </r>
  <r>
    <n v="69"/>
    <d v="2022-06-03T00:00:00"/>
    <n v="1"/>
    <n v="4"/>
    <n v="1"/>
    <n v="28000"/>
    <n v="2800"/>
    <x v="1"/>
    <s v=" CR-V            "/>
    <x v="2"/>
  </r>
  <r>
    <n v="70"/>
    <d v="2022-06-04T00:00:00"/>
    <n v="8"/>
    <n v="7"/>
    <n v="1"/>
    <n v="14000"/>
    <n v="1400"/>
    <x v="0"/>
    <s v=" Almera          "/>
    <x v="3"/>
  </r>
  <r>
    <n v="71"/>
    <d v="2022-06-07T00:00:00"/>
    <n v="7"/>
    <n v="14"/>
    <n v="2"/>
    <n v="50000"/>
    <n v="10000"/>
    <x v="0"/>
    <s v=" X70             "/>
    <x v="5"/>
  </r>
  <r>
    <n v="72"/>
    <d v="2022-06-08T00:00:00"/>
    <n v="3"/>
    <n v="1"/>
    <n v="1"/>
    <n v="15000"/>
    <n v="1500"/>
    <x v="2"/>
    <s v=" Vios            "/>
    <x v="6"/>
  </r>
  <r>
    <n v="73"/>
    <d v="2022-06-09T00:00:00"/>
    <n v="6"/>
    <n v="1"/>
    <n v="3"/>
    <n v="45000"/>
    <n v="4500"/>
    <x v="0"/>
    <s v=" Vios            "/>
    <x v="6"/>
  </r>
  <r>
    <n v="74"/>
    <d v="2022-06-10T00:00:00"/>
    <n v="4"/>
    <n v="15"/>
    <n v="1"/>
    <n v="24000"/>
    <n v="2400"/>
    <x v="0"/>
    <s v=" Mazda3          "/>
    <x v="7"/>
  </r>
  <r>
    <n v="75"/>
    <d v="2022-06-11T00:00:00"/>
    <n v="7"/>
    <n v="5"/>
    <n v="2"/>
    <n v="50000"/>
    <n v="5000"/>
    <x v="0"/>
    <s v=" Ranger          "/>
    <x v="1"/>
  </r>
  <r>
    <n v="76"/>
    <d v="2022-06-14T00:00:00"/>
    <n v="4"/>
    <n v="4"/>
    <n v="1"/>
    <n v="28000"/>
    <n v="2800"/>
    <x v="0"/>
    <s v=" CR-V            "/>
    <x v="2"/>
  </r>
  <r>
    <n v="77"/>
    <d v="2022-06-15T00:00:00"/>
    <n v="7"/>
    <n v="15"/>
    <n v="1"/>
    <n v="24000"/>
    <n v="2400"/>
    <x v="0"/>
    <s v=" Mazda3          "/>
    <x v="7"/>
  </r>
  <r>
    <n v="78"/>
    <d v="2022-06-16T00:00:00"/>
    <n v="6"/>
    <n v="4"/>
    <n v="3"/>
    <n v="84000"/>
    <n v="8400"/>
    <x v="0"/>
    <s v=" CR-V            "/>
    <x v="2"/>
  </r>
  <r>
    <n v="79"/>
    <d v="2022-06-17T00:00:00"/>
    <n v="6"/>
    <n v="1"/>
    <n v="1"/>
    <n v="15000"/>
    <n v="1500"/>
    <x v="0"/>
    <s v=" Vios            "/>
    <x v="6"/>
  </r>
  <r>
    <n v="80"/>
    <d v="2022-06-18T00:00:00"/>
    <n v="8"/>
    <n v="7"/>
    <n v="1"/>
    <n v="14000"/>
    <n v="1400"/>
    <x v="0"/>
    <s v=" Almera          "/>
    <x v="3"/>
  </r>
  <r>
    <n v="81"/>
    <d v="2022-06-21T00:00:00"/>
    <n v="6"/>
    <n v="6"/>
    <n v="2"/>
    <n v="60000"/>
    <n v="6000"/>
    <x v="0"/>
    <s v=" Everest         "/>
    <x v="1"/>
  </r>
  <r>
    <n v="82"/>
    <d v="2022-06-22T00:00:00"/>
    <n v="7"/>
    <n v="8"/>
    <n v="1"/>
    <n v="26000"/>
    <n v="2600"/>
    <x v="0"/>
    <s v=" X-Trail         "/>
    <x v="3"/>
  </r>
  <r>
    <n v="83"/>
    <d v="2022-06-23T00:00:00"/>
    <n v="4"/>
    <n v="1"/>
    <n v="3"/>
    <n v="45000"/>
    <n v="4500"/>
    <x v="0"/>
    <s v=" Vios            "/>
    <x v="6"/>
  </r>
  <r>
    <n v="84"/>
    <d v="2022-06-24T00:00:00"/>
    <n v="10"/>
    <n v="11"/>
    <n v="1"/>
    <n v="16000"/>
    <n v="3200"/>
    <x v="0"/>
    <s v=" Accent          "/>
    <x v="4"/>
  </r>
  <r>
    <n v="85"/>
    <d v="2022-06-25T00:00:00"/>
    <n v="7"/>
    <n v="4"/>
    <n v="2"/>
    <n v="56000"/>
    <n v="5600"/>
    <x v="0"/>
    <s v=" CR-V            "/>
    <x v="2"/>
  </r>
  <r>
    <n v="86"/>
    <d v="2022-06-28T00:00:00"/>
    <n v="2"/>
    <n v="7"/>
    <n v="1"/>
    <n v="14000"/>
    <n v="1400"/>
    <x v="1"/>
    <s v=" Almera          "/>
    <x v="3"/>
  </r>
  <r>
    <n v="87"/>
    <d v="2022-06-29T00:00:00"/>
    <n v="4"/>
    <n v="4"/>
    <n v="1"/>
    <n v="28000"/>
    <n v="2800"/>
    <x v="0"/>
    <s v=" CR-V            "/>
    <x v="2"/>
  </r>
  <r>
    <n v="88"/>
    <d v="2022-06-30T00:00:00"/>
    <n v="4"/>
    <n v="4"/>
    <n v="3"/>
    <n v="84000"/>
    <n v="8400"/>
    <x v="0"/>
    <s v=" CR-V            "/>
    <x v="2"/>
  </r>
  <r>
    <n v="89"/>
    <d v="2022-07-01T00:00:00"/>
    <n v="1"/>
    <n v="11"/>
    <n v="1"/>
    <n v="16000"/>
    <n v="3200"/>
    <x v="1"/>
    <s v=" Accent          "/>
    <x v="4"/>
  </r>
  <r>
    <n v="90"/>
    <d v="2022-07-02T00:00:00"/>
    <n v="1"/>
    <n v="4"/>
    <n v="1"/>
    <n v="28000"/>
    <n v="2800"/>
    <x v="1"/>
    <s v=" CR-V            "/>
    <x v="2"/>
  </r>
  <r>
    <n v="91"/>
    <d v="2022-07-05T00:00:00"/>
    <n v="3"/>
    <n v="5"/>
    <n v="2"/>
    <n v="50000"/>
    <n v="5000"/>
    <x v="2"/>
    <s v=" Ranger          "/>
    <x v="1"/>
  </r>
  <r>
    <n v="92"/>
    <d v="2022-07-06T00:00:00"/>
    <n v="4"/>
    <n v="15"/>
    <n v="1"/>
    <n v="24000"/>
    <n v="2400"/>
    <x v="0"/>
    <s v=" Mazda3          "/>
    <x v="7"/>
  </r>
  <r>
    <n v="93"/>
    <d v="2022-07-07T00:00:00"/>
    <n v="4"/>
    <n v="8"/>
    <n v="3"/>
    <n v="78000"/>
    <n v="7800"/>
    <x v="0"/>
    <s v=" X-Trail         "/>
    <x v="3"/>
  </r>
  <r>
    <n v="94"/>
    <d v="2022-07-08T00:00:00"/>
    <n v="9"/>
    <n v="5"/>
    <n v="1"/>
    <n v="25000"/>
    <n v="2500"/>
    <x v="0"/>
    <s v=" Ranger          "/>
    <x v="1"/>
  </r>
  <r>
    <n v="95"/>
    <d v="2022-07-09T00:00:00"/>
    <n v="8"/>
    <n v="2"/>
    <n v="2"/>
    <n v="40000"/>
    <n v="4000"/>
    <x v="0"/>
    <s v=" Corolla Altis   "/>
    <x v="6"/>
  </r>
  <r>
    <n v="96"/>
    <d v="2022-07-12T00:00:00"/>
    <n v="10"/>
    <n v="6"/>
    <n v="1"/>
    <n v="30000"/>
    <n v="3000"/>
    <x v="0"/>
    <s v=" Everest         "/>
    <x v="1"/>
  </r>
  <r>
    <n v="97"/>
    <d v="2022-07-13T00:00:00"/>
    <n v="9"/>
    <n v="9"/>
    <n v="1"/>
    <n v="18000"/>
    <n v="1800"/>
    <x v="0"/>
    <s v=" Xpander         "/>
    <x v="0"/>
  </r>
  <r>
    <n v="98"/>
    <d v="2022-07-14T00:00:00"/>
    <n v="9"/>
    <n v="12"/>
    <n v="3"/>
    <n v="102000"/>
    <n v="10200"/>
    <x v="0"/>
    <s v=" Santa Fe        "/>
    <x v="4"/>
  </r>
  <r>
    <n v="99"/>
    <d v="2022-07-15T00:00:00"/>
    <n v="8"/>
    <n v="8"/>
    <n v="1"/>
    <n v="26000"/>
    <n v="2600"/>
    <x v="0"/>
    <s v=" X-Trail         "/>
    <x v="3"/>
  </r>
  <r>
    <n v="100"/>
    <d v="2022-07-16T00:00:00"/>
    <n v="3"/>
    <n v="13"/>
    <n v="1"/>
    <n v="12000"/>
    <n v="1200"/>
    <x v="2"/>
    <s v=" Persona         "/>
    <x v="5"/>
  </r>
  <r>
    <n v="101"/>
    <d v="2022-07-19T00:00:00"/>
    <n v="7"/>
    <n v="8"/>
    <n v="2"/>
    <n v="52000"/>
    <n v="5200"/>
    <x v="0"/>
    <s v=" X-Trail         "/>
    <x v="3"/>
  </r>
  <r>
    <n v="102"/>
    <d v="2022-07-20T00:00:00"/>
    <n v="6"/>
    <n v="9"/>
    <n v="1"/>
    <n v="18000"/>
    <n v="1800"/>
    <x v="0"/>
    <s v=" Xpander         "/>
    <x v="0"/>
  </r>
  <r>
    <n v="103"/>
    <d v="2022-07-21T00:00:00"/>
    <n v="9"/>
    <n v="3"/>
    <n v="3"/>
    <n v="66000"/>
    <n v="13200"/>
    <x v="0"/>
    <s v=" Civic           "/>
    <x v="2"/>
  </r>
  <r>
    <n v="104"/>
    <d v="2022-07-22T00:00:00"/>
    <n v="9"/>
    <n v="11"/>
    <n v="1"/>
    <n v="16000"/>
    <n v="3200"/>
    <x v="0"/>
    <s v=" Accent          "/>
    <x v="4"/>
  </r>
  <r>
    <n v="105"/>
    <d v="2022-07-23T00:00:00"/>
    <n v="4"/>
    <n v="11"/>
    <n v="2"/>
    <n v="32000"/>
    <n v="6400"/>
    <x v="0"/>
    <s v=" Accent          "/>
    <x v="4"/>
  </r>
  <r>
    <n v="106"/>
    <d v="2022-07-26T00:00:00"/>
    <n v="7"/>
    <n v="4"/>
    <n v="1"/>
    <n v="28000"/>
    <n v="2800"/>
    <x v="0"/>
    <s v=" CR-V            "/>
    <x v="2"/>
  </r>
  <r>
    <n v="107"/>
    <d v="2022-07-27T00:00:00"/>
    <n v="10"/>
    <n v="1"/>
    <n v="1"/>
    <n v="15000"/>
    <n v="1500"/>
    <x v="0"/>
    <s v=" Vios            "/>
    <x v="6"/>
  </r>
  <r>
    <n v="108"/>
    <d v="2022-07-28T00:00:00"/>
    <n v="7"/>
    <n v="10"/>
    <n v="3"/>
    <n v="96000"/>
    <n v="9600"/>
    <x v="0"/>
    <s v=" Outlander       "/>
    <x v="0"/>
  </r>
  <r>
    <n v="109"/>
    <d v="2022-07-29T00:00:00"/>
    <n v="10"/>
    <n v="6"/>
    <n v="1"/>
    <n v="30000"/>
    <n v="3000"/>
    <x v="0"/>
    <s v=" Everest         "/>
    <x v="1"/>
  </r>
  <r>
    <n v="110"/>
    <d v="2022-07-30T00:00:00"/>
    <n v="4"/>
    <n v="7"/>
    <n v="1"/>
    <n v="14000"/>
    <n v="1400"/>
    <x v="0"/>
    <s v=" Almera          "/>
    <x v="3"/>
  </r>
  <r>
    <n v="111"/>
    <d v="2022-08-02T00:00:00"/>
    <n v="7"/>
    <n v="3"/>
    <n v="2"/>
    <n v="44000"/>
    <n v="8800"/>
    <x v="0"/>
    <s v=" Civic           "/>
    <x v="2"/>
  </r>
  <r>
    <n v="112"/>
    <d v="2022-08-03T00:00:00"/>
    <n v="3"/>
    <n v="7"/>
    <n v="1"/>
    <n v="14000"/>
    <n v="1400"/>
    <x v="2"/>
    <s v=" Almera          "/>
    <x v="3"/>
  </r>
  <r>
    <n v="113"/>
    <d v="2022-08-04T00:00:00"/>
    <n v="2"/>
    <n v="3"/>
    <n v="3"/>
    <n v="66000"/>
    <n v="13200"/>
    <x v="1"/>
    <s v=" Civic           "/>
    <x v="2"/>
  </r>
  <r>
    <n v="114"/>
    <d v="2022-08-05T00:00:00"/>
    <n v="5"/>
    <n v="6"/>
    <n v="1"/>
    <n v="30000"/>
    <n v="3000"/>
    <x v="0"/>
    <s v=" Everest         "/>
    <x v="1"/>
  </r>
  <r>
    <n v="115"/>
    <d v="2022-08-06T00:00:00"/>
    <n v="2"/>
    <n v="2"/>
    <n v="2"/>
    <n v="40000"/>
    <n v="4000"/>
    <x v="1"/>
    <s v=" Corolla Altis   "/>
    <x v="6"/>
  </r>
  <r>
    <n v="116"/>
    <d v="2022-08-09T00:00:00"/>
    <n v="5"/>
    <n v="4"/>
    <n v="1"/>
    <n v="28000"/>
    <n v="2800"/>
    <x v="0"/>
    <s v=" CR-V            "/>
    <x v="2"/>
  </r>
  <r>
    <n v="117"/>
    <d v="2022-08-10T00:00:00"/>
    <n v="6"/>
    <n v="13"/>
    <n v="1"/>
    <n v="12000"/>
    <n v="1200"/>
    <x v="0"/>
    <s v=" Persona         "/>
    <x v="5"/>
  </r>
  <r>
    <n v="118"/>
    <d v="2022-08-11T00:00:00"/>
    <n v="1"/>
    <n v="9"/>
    <n v="3"/>
    <n v="54000"/>
    <n v="5400"/>
    <x v="1"/>
    <s v=" Xpander         "/>
    <x v="0"/>
  </r>
  <r>
    <n v="119"/>
    <d v="2022-08-12T00:00:00"/>
    <n v="6"/>
    <n v="8"/>
    <n v="1"/>
    <n v="26000"/>
    <n v="2600"/>
    <x v="0"/>
    <s v=" X-Trail         "/>
    <x v="3"/>
  </r>
  <r>
    <n v="120"/>
    <d v="2022-08-13T00:00:00"/>
    <n v="2"/>
    <n v="2"/>
    <n v="1"/>
    <n v="20000"/>
    <n v="2000"/>
    <x v="1"/>
    <s v=" Corolla Altis   "/>
    <x v="6"/>
  </r>
  <r>
    <n v="121"/>
    <d v="2022-08-16T00:00:00"/>
    <n v="10"/>
    <n v="15"/>
    <n v="2"/>
    <n v="48000"/>
    <n v="4800"/>
    <x v="0"/>
    <s v=" Mazda3          "/>
    <x v="7"/>
  </r>
  <r>
    <n v="122"/>
    <d v="2022-08-17T00:00:00"/>
    <n v="7"/>
    <n v="3"/>
    <n v="1"/>
    <n v="22000"/>
    <n v="4400"/>
    <x v="0"/>
    <s v=" Civic           "/>
    <x v="2"/>
  </r>
  <r>
    <n v="123"/>
    <d v="2022-08-18T00:00:00"/>
    <n v="3"/>
    <n v="9"/>
    <n v="3"/>
    <n v="54000"/>
    <n v="5400"/>
    <x v="2"/>
    <s v=" Xpander         "/>
    <x v="0"/>
  </r>
  <r>
    <n v="124"/>
    <d v="2022-08-19T00:00:00"/>
    <n v="1"/>
    <n v="5"/>
    <n v="1"/>
    <n v="25000"/>
    <n v="2500"/>
    <x v="1"/>
    <s v=" Ranger          "/>
    <x v="1"/>
  </r>
  <r>
    <n v="125"/>
    <d v="2022-08-20T00:00:00"/>
    <n v="3"/>
    <n v="13"/>
    <n v="2"/>
    <n v="24000"/>
    <n v="2400"/>
    <x v="2"/>
    <s v=" Persona         "/>
    <x v="5"/>
  </r>
  <r>
    <n v="126"/>
    <d v="2022-08-23T00:00:00"/>
    <n v="8"/>
    <n v="1"/>
    <n v="1"/>
    <n v="15000"/>
    <n v="1500"/>
    <x v="0"/>
    <s v=" Vios            "/>
    <x v="6"/>
  </r>
  <r>
    <n v="127"/>
    <d v="2022-08-24T00:00:00"/>
    <n v="6"/>
    <n v="12"/>
    <n v="1"/>
    <n v="34000"/>
    <n v="3400"/>
    <x v="0"/>
    <s v=" Santa Fe        "/>
    <x v="4"/>
  </r>
  <r>
    <n v="128"/>
    <d v="2022-08-25T00:00:00"/>
    <n v="4"/>
    <n v="1"/>
    <n v="3"/>
    <n v="45000"/>
    <n v="4500"/>
    <x v="0"/>
    <s v=" Vios            "/>
    <x v="6"/>
  </r>
  <r>
    <n v="129"/>
    <d v="2022-08-26T00:00:00"/>
    <n v="10"/>
    <n v="14"/>
    <n v="1"/>
    <n v="25000"/>
    <n v="5000"/>
    <x v="0"/>
    <s v=" X70             "/>
    <x v="5"/>
  </r>
  <r>
    <n v="130"/>
    <d v="2022-08-27T00:00:00"/>
    <n v="6"/>
    <n v="11"/>
    <n v="1"/>
    <n v="16000"/>
    <n v="3200"/>
    <x v="0"/>
    <s v=" Accent          "/>
    <x v="4"/>
  </r>
  <r>
    <n v="131"/>
    <d v="2022-08-30T00:00:00"/>
    <n v="2"/>
    <n v="11"/>
    <n v="2"/>
    <n v="32000"/>
    <n v="6400"/>
    <x v="1"/>
    <s v=" Accent          "/>
    <x v="4"/>
  </r>
  <r>
    <n v="132"/>
    <d v="2022-08-31T00:00:00"/>
    <n v="4"/>
    <n v="12"/>
    <n v="1"/>
    <n v="34000"/>
    <n v="3400"/>
    <x v="0"/>
    <s v=" Santa Fe        "/>
    <x v="4"/>
  </r>
  <r>
    <n v="133"/>
    <d v="2022-09-01T00:00:00"/>
    <n v="4"/>
    <n v="5"/>
    <n v="3"/>
    <n v="75000"/>
    <n v="7500"/>
    <x v="0"/>
    <s v=" Ranger          "/>
    <x v="1"/>
  </r>
  <r>
    <n v="134"/>
    <d v="2022-09-02T00:00:00"/>
    <n v="1"/>
    <n v="4"/>
    <n v="1"/>
    <n v="28000"/>
    <n v="2800"/>
    <x v="1"/>
    <s v=" CR-V            "/>
    <x v="2"/>
  </r>
  <r>
    <n v="135"/>
    <d v="2022-09-03T00:00:00"/>
    <n v="1"/>
    <n v="11"/>
    <n v="2"/>
    <n v="32000"/>
    <n v="6400"/>
    <x v="1"/>
    <s v=" Accent          "/>
    <x v="4"/>
  </r>
  <r>
    <n v="136"/>
    <d v="2022-09-06T00:00:00"/>
    <n v="8"/>
    <n v="2"/>
    <n v="1"/>
    <n v="20000"/>
    <n v="2000"/>
    <x v="0"/>
    <s v=" Corolla Altis   "/>
    <x v="6"/>
  </r>
  <r>
    <n v="137"/>
    <d v="2022-09-07T00:00:00"/>
    <n v="6"/>
    <n v="2"/>
    <n v="1"/>
    <n v="20000"/>
    <n v="2000"/>
    <x v="0"/>
    <s v=" Corolla Altis   "/>
    <x v="6"/>
  </r>
  <r>
    <n v="138"/>
    <d v="2022-09-08T00:00:00"/>
    <n v="7"/>
    <n v="10"/>
    <n v="3"/>
    <n v="96000"/>
    <n v="9600"/>
    <x v="0"/>
    <s v=" Outlander       "/>
    <x v="0"/>
  </r>
  <r>
    <n v="139"/>
    <d v="2022-09-09T00:00:00"/>
    <n v="6"/>
    <n v="12"/>
    <n v="1"/>
    <n v="34000"/>
    <n v="3400"/>
    <x v="0"/>
    <s v=" Santa Fe        "/>
    <x v="4"/>
  </r>
  <r>
    <n v="140"/>
    <d v="2022-09-10T00:00:00"/>
    <n v="4"/>
    <n v="14"/>
    <n v="1"/>
    <n v="25000"/>
    <n v="5000"/>
    <x v="0"/>
    <s v=" X70             "/>
    <x v="5"/>
  </r>
  <r>
    <n v="141"/>
    <d v="2022-09-13T00:00:00"/>
    <n v="10"/>
    <n v="5"/>
    <n v="2"/>
    <n v="50000"/>
    <n v="5000"/>
    <x v="0"/>
    <s v=" Ranger          "/>
    <x v="1"/>
  </r>
  <r>
    <n v="142"/>
    <d v="2022-09-14T00:00:00"/>
    <n v="8"/>
    <n v="2"/>
    <n v="1"/>
    <n v="20000"/>
    <n v="2000"/>
    <x v="0"/>
    <s v=" Corolla Altis   "/>
    <x v="6"/>
  </r>
  <r>
    <n v="143"/>
    <d v="2022-09-15T00:00:00"/>
    <n v="2"/>
    <n v="10"/>
    <n v="3"/>
    <n v="96000"/>
    <n v="9600"/>
    <x v="1"/>
    <s v=" Outlander       "/>
    <x v="0"/>
  </r>
  <r>
    <n v="144"/>
    <d v="2022-09-16T00:00:00"/>
    <n v="1"/>
    <n v="3"/>
    <n v="1"/>
    <n v="22000"/>
    <n v="4400"/>
    <x v="1"/>
    <s v=" Civic           "/>
    <x v="2"/>
  </r>
  <r>
    <n v="145"/>
    <d v="2022-09-17T00:00:00"/>
    <n v="2"/>
    <n v="9"/>
    <n v="2"/>
    <n v="36000"/>
    <n v="3600"/>
    <x v="1"/>
    <s v=" Xpander         "/>
    <x v="0"/>
  </r>
  <r>
    <n v="146"/>
    <d v="2022-09-20T00:00:00"/>
    <n v="1"/>
    <n v="7"/>
    <n v="1"/>
    <n v="14000"/>
    <n v="1400"/>
    <x v="1"/>
    <s v=" Almera          "/>
    <x v="3"/>
  </r>
  <r>
    <n v="147"/>
    <d v="2022-09-21T00:00:00"/>
    <n v="9"/>
    <n v="2"/>
    <n v="1"/>
    <n v="20000"/>
    <n v="2000"/>
    <x v="0"/>
    <s v=" Corolla Altis   "/>
    <x v="6"/>
  </r>
  <r>
    <n v="148"/>
    <d v="2022-09-22T00:00:00"/>
    <n v="8"/>
    <n v="11"/>
    <n v="3"/>
    <n v="48000"/>
    <n v="9600"/>
    <x v="0"/>
    <s v=" Accent          "/>
    <x v="4"/>
  </r>
  <r>
    <n v="149"/>
    <d v="2022-09-23T00:00:00"/>
    <n v="4"/>
    <n v="7"/>
    <n v="1"/>
    <n v="14000"/>
    <n v="1400"/>
    <x v="0"/>
    <s v=" Almera          "/>
    <x v="3"/>
  </r>
  <r>
    <n v="150"/>
    <d v="2022-09-24T00:00:00"/>
    <n v="4"/>
    <n v="2"/>
    <n v="1"/>
    <n v="20000"/>
    <n v="2000"/>
    <x v="0"/>
    <s v=" Corolla Altis   "/>
    <x v="6"/>
  </r>
  <r>
    <n v="151"/>
    <d v="2022-09-27T00:00:00"/>
    <n v="1"/>
    <n v="14"/>
    <n v="2"/>
    <n v="50000"/>
    <n v="10000"/>
    <x v="1"/>
    <s v=" X70             "/>
    <x v="5"/>
  </r>
  <r>
    <n v="152"/>
    <d v="2022-09-28T00:00:00"/>
    <n v="4"/>
    <n v="9"/>
    <n v="1"/>
    <n v="18000"/>
    <n v="1800"/>
    <x v="0"/>
    <s v=" Xpander         "/>
    <x v="0"/>
  </r>
  <r>
    <n v="153"/>
    <d v="2022-09-29T00:00:00"/>
    <n v="9"/>
    <n v="11"/>
    <n v="3"/>
    <n v="48000"/>
    <n v="9600"/>
    <x v="0"/>
    <s v=" Accent          "/>
    <x v="4"/>
  </r>
  <r>
    <n v="154"/>
    <d v="2022-09-30T00:00:00"/>
    <n v="6"/>
    <n v="9"/>
    <n v="1"/>
    <n v="18000"/>
    <n v="1800"/>
    <x v="0"/>
    <s v=" Xpander         "/>
    <x v="0"/>
  </r>
  <r>
    <n v="155"/>
    <d v="2022-10-01T00:00:00"/>
    <n v="2"/>
    <n v="10"/>
    <n v="2"/>
    <n v="64000"/>
    <n v="6400"/>
    <x v="1"/>
    <s v=" Outlander       "/>
    <x v="0"/>
  </r>
  <r>
    <n v="156"/>
    <d v="2022-10-04T00:00:00"/>
    <n v="2"/>
    <n v="1"/>
    <n v="1"/>
    <n v="15000"/>
    <n v="1500"/>
    <x v="1"/>
    <s v=" Vios            "/>
    <x v="6"/>
  </r>
  <r>
    <n v="157"/>
    <d v="2022-10-05T00:00:00"/>
    <n v="9"/>
    <n v="5"/>
    <n v="1"/>
    <n v="25000"/>
    <n v="2500"/>
    <x v="0"/>
    <s v=" Ranger          "/>
    <x v="1"/>
  </r>
  <r>
    <n v="158"/>
    <d v="2022-10-06T00:00:00"/>
    <n v="4"/>
    <n v="5"/>
    <n v="3"/>
    <n v="75000"/>
    <n v="7500"/>
    <x v="0"/>
    <s v=" Ranger          "/>
    <x v="1"/>
  </r>
  <r>
    <n v="159"/>
    <d v="2022-10-07T00:00:00"/>
    <n v="10"/>
    <n v="5"/>
    <n v="1"/>
    <n v="25000"/>
    <n v="2500"/>
    <x v="0"/>
    <s v=" Ranger          "/>
    <x v="1"/>
  </r>
  <r>
    <n v="160"/>
    <d v="2022-10-08T00:00:00"/>
    <n v="7"/>
    <n v="9"/>
    <n v="1"/>
    <n v="18000"/>
    <n v="1800"/>
    <x v="0"/>
    <s v=" Xpander         "/>
    <x v="0"/>
  </r>
  <r>
    <n v="161"/>
    <d v="2022-10-11T00:00:00"/>
    <n v="7"/>
    <n v="11"/>
    <n v="2"/>
    <n v="32000"/>
    <n v="6400"/>
    <x v="0"/>
    <s v=" Accent          "/>
    <x v="4"/>
  </r>
  <r>
    <n v="162"/>
    <d v="2022-10-12T00:00:00"/>
    <n v="5"/>
    <n v="15"/>
    <n v="1"/>
    <n v="24000"/>
    <n v="2400"/>
    <x v="0"/>
    <s v=" Mazda3          "/>
    <x v="7"/>
  </r>
  <r>
    <n v="163"/>
    <d v="2022-10-13T00:00:00"/>
    <n v="1"/>
    <n v="4"/>
    <n v="3"/>
    <n v="84000"/>
    <n v="8400"/>
    <x v="1"/>
    <s v=" CR-V            "/>
    <x v="2"/>
  </r>
  <r>
    <n v="164"/>
    <d v="2022-10-14T00:00:00"/>
    <n v="4"/>
    <n v="6"/>
    <n v="1"/>
    <n v="30000"/>
    <n v="3000"/>
    <x v="0"/>
    <s v=" Everest         "/>
    <x v="1"/>
  </r>
  <r>
    <n v="165"/>
    <d v="2022-10-15T00:00:00"/>
    <n v="2"/>
    <n v="3"/>
    <n v="2"/>
    <n v="44000"/>
    <n v="8800"/>
    <x v="1"/>
    <s v=" Civic           "/>
    <x v="2"/>
  </r>
  <r>
    <n v="166"/>
    <d v="2022-10-18T00:00:00"/>
    <n v="10"/>
    <n v="7"/>
    <n v="1"/>
    <n v="14000"/>
    <n v="1400"/>
    <x v="0"/>
    <s v=" Almera          "/>
    <x v="3"/>
  </r>
  <r>
    <n v="167"/>
    <d v="2022-10-19T00:00:00"/>
    <n v="4"/>
    <n v="2"/>
    <n v="1"/>
    <n v="20000"/>
    <n v="2000"/>
    <x v="0"/>
    <s v=" Corolla Altis   "/>
    <x v="6"/>
  </r>
  <r>
    <n v="168"/>
    <d v="2022-10-20T00:00:00"/>
    <n v="9"/>
    <n v="14"/>
    <n v="3"/>
    <n v="75000"/>
    <n v="15000"/>
    <x v="0"/>
    <s v=" X70             "/>
    <x v="5"/>
  </r>
  <r>
    <n v="169"/>
    <d v="2022-10-21T00:00:00"/>
    <n v="1"/>
    <n v="14"/>
    <n v="1"/>
    <n v="25000"/>
    <n v="5000"/>
    <x v="1"/>
    <s v=" X70             "/>
    <x v="5"/>
  </r>
  <r>
    <n v="170"/>
    <d v="2022-10-22T00:00:00"/>
    <n v="5"/>
    <n v="3"/>
    <n v="1"/>
    <n v="22000"/>
    <n v="4400"/>
    <x v="0"/>
    <s v=" Civic           "/>
    <x v="2"/>
  </r>
  <r>
    <n v="171"/>
    <d v="2022-10-25T00:00:00"/>
    <n v="8"/>
    <n v="2"/>
    <n v="2"/>
    <n v="40000"/>
    <n v="4000"/>
    <x v="0"/>
    <s v=" Corolla Altis   "/>
    <x v="6"/>
  </r>
  <r>
    <n v="172"/>
    <d v="2022-10-26T00:00:00"/>
    <n v="9"/>
    <n v="13"/>
    <n v="1"/>
    <n v="12000"/>
    <n v="1200"/>
    <x v="0"/>
    <s v=" Persona         "/>
    <x v="5"/>
  </r>
  <r>
    <n v="173"/>
    <d v="2022-10-27T00:00:00"/>
    <n v="10"/>
    <n v="14"/>
    <n v="3"/>
    <n v="75000"/>
    <n v="15000"/>
    <x v="0"/>
    <s v=" X70             "/>
    <x v="5"/>
  </r>
  <r>
    <n v="174"/>
    <d v="2022-10-28T00:00:00"/>
    <n v="10"/>
    <n v="4"/>
    <n v="1"/>
    <n v="28000"/>
    <n v="2800"/>
    <x v="0"/>
    <s v=" CR-V            "/>
    <x v="2"/>
  </r>
  <r>
    <n v="175"/>
    <d v="2022-10-29T00:00:00"/>
    <n v="8"/>
    <n v="1"/>
    <n v="2"/>
    <n v="30000"/>
    <n v="3000"/>
    <x v="0"/>
    <s v=" Vios            "/>
    <x v="6"/>
  </r>
  <r>
    <n v="176"/>
    <d v="2022-11-01T00:00:00"/>
    <n v="4"/>
    <n v="12"/>
    <n v="1"/>
    <n v="34000"/>
    <n v="3400"/>
    <x v="0"/>
    <s v=" Santa Fe        "/>
    <x v="4"/>
  </r>
  <r>
    <n v="177"/>
    <d v="2022-11-02T00:00:00"/>
    <n v="6"/>
    <n v="1"/>
    <n v="1"/>
    <n v="15000"/>
    <n v="1500"/>
    <x v="0"/>
    <s v=" Vios            "/>
    <x v="6"/>
  </r>
  <r>
    <n v="178"/>
    <d v="2022-11-03T00:00:00"/>
    <n v="8"/>
    <n v="14"/>
    <n v="3"/>
    <n v="75000"/>
    <n v="15000"/>
    <x v="0"/>
    <s v=" X70             "/>
    <x v="5"/>
  </r>
  <r>
    <n v="179"/>
    <d v="2022-11-04T00:00:00"/>
    <n v="4"/>
    <n v="11"/>
    <n v="1"/>
    <n v="16000"/>
    <n v="3200"/>
    <x v="0"/>
    <s v=" Accent          "/>
    <x v="4"/>
  </r>
  <r>
    <n v="180"/>
    <d v="2022-11-05T00:00:00"/>
    <n v="8"/>
    <n v="13"/>
    <n v="1"/>
    <n v="12000"/>
    <n v="1200"/>
    <x v="0"/>
    <s v=" Persona         "/>
    <x v="5"/>
  </r>
  <r>
    <n v="181"/>
    <d v="2022-11-08T00:00:00"/>
    <n v="5"/>
    <n v="5"/>
    <n v="2"/>
    <n v="50000"/>
    <n v="5000"/>
    <x v="0"/>
    <s v=" Ranger          "/>
    <x v="1"/>
  </r>
  <r>
    <n v="182"/>
    <d v="2022-11-09T00:00:00"/>
    <n v="1"/>
    <n v="13"/>
    <n v="1"/>
    <n v="12000"/>
    <n v="1200"/>
    <x v="1"/>
    <s v=" Persona         "/>
    <x v="5"/>
  </r>
  <r>
    <n v="183"/>
    <d v="2022-11-10T00:00:00"/>
    <n v="6"/>
    <n v="13"/>
    <n v="3"/>
    <n v="36000"/>
    <n v="3600"/>
    <x v="0"/>
    <s v=" Persona         "/>
    <x v="5"/>
  </r>
  <r>
    <n v="184"/>
    <d v="2022-11-11T00:00:00"/>
    <n v="6"/>
    <n v="11"/>
    <n v="1"/>
    <n v="16000"/>
    <n v="3200"/>
    <x v="0"/>
    <s v=" Accent          "/>
    <x v="4"/>
  </r>
  <r>
    <n v="185"/>
    <d v="2022-11-12T00:00:00"/>
    <n v="6"/>
    <n v="7"/>
    <n v="2"/>
    <n v="28000"/>
    <n v="2800"/>
    <x v="0"/>
    <s v=" Almera          "/>
    <x v="3"/>
  </r>
  <r>
    <n v="186"/>
    <d v="2022-11-15T00:00:00"/>
    <n v="8"/>
    <n v="15"/>
    <n v="1"/>
    <n v="24000"/>
    <n v="2400"/>
    <x v="0"/>
    <s v=" Mazda3          "/>
    <x v="7"/>
  </r>
  <r>
    <n v="187"/>
    <d v="2022-11-16T00:00:00"/>
    <n v="2"/>
    <n v="7"/>
    <n v="1"/>
    <n v="14000"/>
    <n v="1400"/>
    <x v="1"/>
    <s v=" Almera          "/>
    <x v="3"/>
  </r>
  <r>
    <n v="188"/>
    <d v="2022-11-17T00:00:00"/>
    <n v="7"/>
    <n v="3"/>
    <n v="3"/>
    <n v="66000"/>
    <n v="13200"/>
    <x v="0"/>
    <s v=" Civic           "/>
    <x v="2"/>
  </r>
  <r>
    <n v="189"/>
    <d v="2022-11-18T00:00:00"/>
    <n v="6"/>
    <n v="1"/>
    <n v="1"/>
    <n v="15000"/>
    <n v="1500"/>
    <x v="0"/>
    <s v=" Vios            "/>
    <x v="6"/>
  </r>
  <r>
    <n v="190"/>
    <d v="2022-11-19T00:00:00"/>
    <n v="4"/>
    <n v="5"/>
    <n v="1"/>
    <n v="25000"/>
    <n v="2500"/>
    <x v="0"/>
    <s v=" Ranger          "/>
    <x v="1"/>
  </r>
  <r>
    <n v="191"/>
    <d v="2022-11-22T00:00:00"/>
    <n v="6"/>
    <n v="7"/>
    <n v="2"/>
    <n v="28000"/>
    <n v="2800"/>
    <x v="0"/>
    <s v=" Almera          "/>
    <x v="3"/>
  </r>
  <r>
    <n v="192"/>
    <d v="2022-11-23T00:00:00"/>
    <n v="4"/>
    <n v="13"/>
    <n v="1"/>
    <n v="12000"/>
    <n v="1200"/>
    <x v="0"/>
    <s v=" Persona         "/>
    <x v="5"/>
  </r>
  <r>
    <n v="193"/>
    <d v="2022-11-24T00:00:00"/>
    <n v="5"/>
    <n v="14"/>
    <n v="3"/>
    <n v="75000"/>
    <n v="15000"/>
    <x v="0"/>
    <s v=" X70             "/>
    <x v="5"/>
  </r>
  <r>
    <n v="194"/>
    <d v="2022-11-25T00:00:00"/>
    <n v="10"/>
    <n v="7"/>
    <n v="1"/>
    <n v="14000"/>
    <n v="1400"/>
    <x v="0"/>
    <s v=" Almera          "/>
    <x v="3"/>
  </r>
  <r>
    <n v="195"/>
    <d v="2022-11-26T00:00:00"/>
    <n v="9"/>
    <n v="7"/>
    <n v="2"/>
    <n v="28000"/>
    <n v="2800"/>
    <x v="0"/>
    <s v=" Almera          "/>
    <x v="3"/>
  </r>
  <r>
    <n v="196"/>
    <d v="2022-11-29T00:00:00"/>
    <n v="4"/>
    <n v="12"/>
    <n v="1"/>
    <n v="34000"/>
    <n v="3400"/>
    <x v="0"/>
    <s v=" Santa Fe        "/>
    <x v="4"/>
  </r>
  <r>
    <n v="197"/>
    <d v="2022-11-30T00:00:00"/>
    <n v="3"/>
    <n v="2"/>
    <n v="1"/>
    <n v="20000"/>
    <n v="2000"/>
    <x v="2"/>
    <s v=" Corolla Altis   "/>
    <x v="6"/>
  </r>
  <r>
    <n v="198"/>
    <d v="2022-12-01T00:00:00"/>
    <n v="3"/>
    <n v="6"/>
    <n v="3"/>
    <n v="90000"/>
    <n v="9000"/>
    <x v="2"/>
    <s v=" Everest         "/>
    <x v="1"/>
  </r>
  <r>
    <n v="199"/>
    <d v="2022-12-02T00:00:00"/>
    <n v="6"/>
    <n v="7"/>
    <n v="1"/>
    <n v="14000"/>
    <n v="1400"/>
    <x v="0"/>
    <s v=" Almera          "/>
    <x v="3"/>
  </r>
  <r>
    <n v="200"/>
    <d v="2022-12-03T00:00:00"/>
    <n v="2"/>
    <n v="5"/>
    <n v="1"/>
    <n v="25000"/>
    <n v="2500"/>
    <x v="1"/>
    <s v=" Ranger          "/>
    <x v="1"/>
  </r>
  <r>
    <n v="201"/>
    <d v="2022-12-06T00:00:00"/>
    <n v="5"/>
    <n v="15"/>
    <n v="2"/>
    <n v="48000"/>
    <n v="4800"/>
    <x v="0"/>
    <s v=" Mazda3          "/>
    <x v="7"/>
  </r>
  <r>
    <n v="202"/>
    <d v="2022-12-07T00:00:00"/>
    <n v="10"/>
    <n v="12"/>
    <n v="1"/>
    <n v="34000"/>
    <n v="3400"/>
    <x v="0"/>
    <s v=" Santa Fe        "/>
    <x v="4"/>
  </r>
  <r>
    <n v="203"/>
    <d v="2022-12-08T00:00:00"/>
    <n v="5"/>
    <n v="15"/>
    <n v="3"/>
    <n v="72000"/>
    <n v="7200"/>
    <x v="0"/>
    <s v=" Mazda3          "/>
    <x v="7"/>
  </r>
  <r>
    <n v="204"/>
    <d v="2022-12-09T00:00:00"/>
    <n v="5"/>
    <n v="13"/>
    <n v="1"/>
    <n v="12000"/>
    <n v="1200"/>
    <x v="0"/>
    <s v=" Persona         "/>
    <x v="5"/>
  </r>
  <r>
    <n v="205"/>
    <d v="2022-12-10T00:00:00"/>
    <n v="8"/>
    <n v="6"/>
    <n v="2"/>
    <n v="60000"/>
    <n v="6000"/>
    <x v="0"/>
    <s v=" Everest         "/>
    <x v="1"/>
  </r>
  <r>
    <n v="206"/>
    <d v="2022-12-13T00:00:00"/>
    <n v="7"/>
    <n v="12"/>
    <n v="1"/>
    <n v="34000"/>
    <n v="3400"/>
    <x v="0"/>
    <s v=" Santa Fe        "/>
    <x v="4"/>
  </r>
  <r>
    <n v="207"/>
    <d v="2022-12-14T00:00:00"/>
    <n v="5"/>
    <n v="5"/>
    <n v="1"/>
    <n v="25000"/>
    <n v="2500"/>
    <x v="0"/>
    <s v=" Ranger          "/>
    <x v="1"/>
  </r>
  <r>
    <n v="208"/>
    <d v="2022-12-15T00:00:00"/>
    <n v="6"/>
    <n v="13"/>
    <n v="3"/>
    <n v="36000"/>
    <n v="3600"/>
    <x v="0"/>
    <s v=" Persona         "/>
    <x v="5"/>
  </r>
  <r>
    <n v="209"/>
    <d v="2022-12-16T00:00:00"/>
    <n v="6"/>
    <n v="11"/>
    <n v="1"/>
    <n v="16000"/>
    <n v="3200"/>
    <x v="0"/>
    <s v=" Accent          "/>
    <x v="4"/>
  </r>
  <r>
    <n v="210"/>
    <d v="2022-12-17T00:00:00"/>
    <n v="3"/>
    <n v="9"/>
    <n v="1"/>
    <n v="18000"/>
    <n v="1800"/>
    <x v="2"/>
    <s v=" Xpander         "/>
    <x v="0"/>
  </r>
  <r>
    <n v="211"/>
    <d v="2022-12-20T00:00:00"/>
    <n v="6"/>
    <n v="8"/>
    <n v="2"/>
    <n v="52000"/>
    <n v="5200"/>
    <x v="0"/>
    <s v=" X-Trail         "/>
    <x v="3"/>
  </r>
  <r>
    <n v="212"/>
    <d v="2022-12-21T00:00:00"/>
    <n v="2"/>
    <n v="3"/>
    <n v="1"/>
    <n v="22000"/>
    <n v="4400"/>
    <x v="1"/>
    <s v=" Civic           "/>
    <x v="2"/>
  </r>
  <r>
    <n v="213"/>
    <d v="2022-12-22T00:00:00"/>
    <n v="6"/>
    <n v="6"/>
    <n v="3"/>
    <n v="90000"/>
    <n v="9000"/>
    <x v="0"/>
    <s v=" Everest         "/>
    <x v="1"/>
  </r>
  <r>
    <n v="214"/>
    <d v="2022-12-23T00:00:00"/>
    <n v="6"/>
    <n v="4"/>
    <n v="1"/>
    <n v="28000"/>
    <n v="2800"/>
    <x v="0"/>
    <s v=" CR-V            "/>
    <x v="2"/>
  </r>
  <r>
    <n v="215"/>
    <d v="2022-12-24T00:00:00"/>
    <n v="2"/>
    <n v="9"/>
    <n v="2"/>
    <n v="36000"/>
    <n v="3600"/>
    <x v="1"/>
    <s v=" Xpander         "/>
    <x v="0"/>
  </r>
  <r>
    <n v="216"/>
    <d v="2022-12-27T00:00:00"/>
    <n v="10"/>
    <n v="5"/>
    <n v="1"/>
    <n v="25000"/>
    <n v="2500"/>
    <x v="0"/>
    <s v=" Ranger          "/>
    <x v="1"/>
  </r>
  <r>
    <n v="217"/>
    <d v="2022-12-28T00:00:00"/>
    <n v="2"/>
    <n v="11"/>
    <n v="1"/>
    <n v="16000"/>
    <n v="3200"/>
    <x v="1"/>
    <s v=" Accent          "/>
    <x v="4"/>
  </r>
  <r>
    <n v="218"/>
    <d v="2022-12-29T00:00:00"/>
    <n v="5"/>
    <n v="6"/>
    <n v="3"/>
    <n v="90000"/>
    <n v="9000"/>
    <x v="0"/>
    <s v=" Everest         "/>
    <x v="1"/>
  </r>
  <r>
    <m/>
    <m/>
    <m/>
    <m/>
    <m/>
    <m/>
    <m/>
    <x v="3"/>
    <m/>
    <x v="8"/>
  </r>
  <r>
    <m/>
    <m/>
    <m/>
    <m/>
    <m/>
    <m/>
    <m/>
    <x v="3"/>
    <m/>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d v="2022-01-05T00:00:00"/>
    <n v="6"/>
    <n v="2"/>
    <n v="1"/>
    <n v="20000"/>
    <n v="2000"/>
    <s v=" Philippines  "/>
    <s v=" Corolla Altis   "/>
    <x v="0"/>
    <x v="0"/>
    <x v="0"/>
  </r>
  <r>
    <n v="2"/>
    <d v="2022-01-08T00:00:00"/>
    <n v="4"/>
    <n v="9"/>
    <n v="1"/>
    <n v="18000"/>
    <n v="1800"/>
    <s v=" Philippines  "/>
    <s v=" Xpander         "/>
    <x v="1"/>
    <x v="1"/>
    <x v="1"/>
  </r>
  <r>
    <n v="3"/>
    <d v="2022-02-12T00:00:00"/>
    <n v="5"/>
    <n v="14"/>
    <n v="2"/>
    <n v="50000"/>
    <n v="10000"/>
    <s v=" Philippines  "/>
    <s v=" X70             "/>
    <x v="2"/>
    <x v="2"/>
    <x v="2"/>
  </r>
  <r>
    <n v="4"/>
    <d v="2022-02-22T00:00:00"/>
    <n v="4"/>
    <n v="3"/>
    <n v="1"/>
    <n v="22000"/>
    <n v="4400"/>
    <s v=" Philippines  "/>
    <s v=" Civic           "/>
    <x v="3"/>
    <x v="1"/>
    <x v="1"/>
  </r>
  <r>
    <n v="5"/>
    <d v="2022-03-01T00:00:00"/>
    <n v="7"/>
    <n v="7"/>
    <n v="3"/>
    <n v="42000"/>
    <n v="4200"/>
    <s v=" Philippines  "/>
    <s v=" Almera          "/>
    <x v="4"/>
    <x v="3"/>
    <x v="3"/>
  </r>
  <r>
    <n v="6"/>
    <d v="2022-03-08T00:00:00"/>
    <n v="8"/>
    <n v="15"/>
    <n v="1"/>
    <n v="24000"/>
    <n v="2400"/>
    <s v=" Philippines  "/>
    <s v=" Mazda3          "/>
    <x v="5"/>
    <x v="4"/>
    <x v="4"/>
  </r>
  <r>
    <n v="7"/>
    <d v="2022-03-09T00:00:00"/>
    <n v="2"/>
    <n v="7"/>
    <n v="2"/>
    <n v="28000"/>
    <n v="2800"/>
    <s v=" Malaysia     "/>
    <s v=" Almera          "/>
    <x v="4"/>
    <x v="5"/>
    <x v="5"/>
  </r>
  <r>
    <n v="8"/>
    <d v="2022-03-10T00:00:00"/>
    <n v="4"/>
    <n v="10"/>
    <n v="1"/>
    <n v="32000"/>
    <n v="3200"/>
    <s v=" Philippines  "/>
    <s v=" Outlander       "/>
    <x v="1"/>
    <x v="1"/>
    <x v="1"/>
  </r>
  <r>
    <n v="9"/>
    <d v="2022-03-11T00:00:00"/>
    <n v="1"/>
    <n v="6"/>
    <n v="1"/>
    <n v="30000"/>
    <n v="3000"/>
    <s v=" Malaysia     "/>
    <s v=" Everest         "/>
    <x v="6"/>
    <x v="6"/>
    <x v="6"/>
  </r>
  <r>
    <n v="10"/>
    <d v="2022-03-12T00:00:00"/>
    <n v="5"/>
    <n v="4"/>
    <n v="2"/>
    <n v="56000"/>
    <n v="5600"/>
    <s v=" Philippines  "/>
    <s v=" CR-V            "/>
    <x v="3"/>
    <x v="2"/>
    <x v="2"/>
  </r>
  <r>
    <n v="11"/>
    <d v="2022-03-15T00:00:00"/>
    <n v="9"/>
    <n v="3"/>
    <n v="1"/>
    <n v="22000"/>
    <n v="4400"/>
    <s v=" Philippines  "/>
    <s v=" Civic           "/>
    <x v="3"/>
    <x v="7"/>
    <x v="7"/>
  </r>
  <r>
    <n v="12"/>
    <d v="2022-03-16T00:00:00"/>
    <n v="3"/>
    <n v="9"/>
    <n v="1"/>
    <n v="18000"/>
    <n v="1800"/>
    <s v=" Singapore    "/>
    <s v=" Xpander         "/>
    <x v="1"/>
    <x v="8"/>
    <x v="8"/>
  </r>
  <r>
    <n v="13"/>
    <d v="2022-03-17T00:00:00"/>
    <n v="6"/>
    <n v="1"/>
    <n v="2"/>
    <n v="30000"/>
    <n v="3000"/>
    <s v=" Philippines  "/>
    <s v=" Vios            "/>
    <x v="0"/>
    <x v="0"/>
    <x v="0"/>
  </r>
  <r>
    <n v="14"/>
    <d v="2022-03-18T00:00:00"/>
    <n v="3"/>
    <n v="4"/>
    <n v="1"/>
    <n v="28000"/>
    <n v="2800"/>
    <s v=" Singapore    "/>
    <s v=" CR-V            "/>
    <x v="3"/>
    <x v="8"/>
    <x v="8"/>
  </r>
  <r>
    <n v="15"/>
    <d v="2022-03-19T00:00:00"/>
    <n v="9"/>
    <n v="1"/>
    <n v="2"/>
    <n v="30000"/>
    <n v="3000"/>
    <s v=" Philippines  "/>
    <s v=" Vios            "/>
    <x v="0"/>
    <x v="7"/>
    <x v="7"/>
  </r>
  <r>
    <n v="16"/>
    <d v="2022-03-22T00:00:00"/>
    <n v="9"/>
    <n v="14"/>
    <n v="1"/>
    <n v="25000"/>
    <n v="5000"/>
    <s v=" Philippines  "/>
    <s v=" X70             "/>
    <x v="2"/>
    <x v="7"/>
    <x v="7"/>
  </r>
  <r>
    <n v="17"/>
    <d v="2022-03-23T00:00:00"/>
    <n v="5"/>
    <n v="4"/>
    <n v="1"/>
    <n v="28000"/>
    <n v="2800"/>
    <s v=" Philippines  "/>
    <s v=" CR-V            "/>
    <x v="3"/>
    <x v="2"/>
    <x v="2"/>
  </r>
  <r>
    <n v="18"/>
    <d v="2022-03-24T00:00:00"/>
    <n v="6"/>
    <n v="10"/>
    <n v="3"/>
    <n v="96000"/>
    <n v="9600"/>
    <s v=" Philippines  "/>
    <s v=" Outlander       "/>
    <x v="1"/>
    <x v="0"/>
    <x v="0"/>
  </r>
  <r>
    <n v="19"/>
    <d v="2022-03-25T00:00:00"/>
    <n v="5"/>
    <n v="3"/>
    <n v="1"/>
    <n v="22000"/>
    <n v="4400"/>
    <s v=" Philippines  "/>
    <s v=" Civic           "/>
    <x v="3"/>
    <x v="2"/>
    <x v="2"/>
  </r>
  <r>
    <n v="20"/>
    <d v="2022-03-26T00:00:00"/>
    <n v="1"/>
    <n v="15"/>
    <n v="1"/>
    <n v="24000"/>
    <n v="2400"/>
    <s v=" Malaysia     "/>
    <s v=" Mazda3          "/>
    <x v="5"/>
    <x v="6"/>
    <x v="6"/>
  </r>
  <r>
    <n v="21"/>
    <d v="2022-03-29T00:00:00"/>
    <n v="7"/>
    <n v="3"/>
    <n v="2"/>
    <n v="44000"/>
    <n v="8800"/>
    <s v=" Philippines  "/>
    <s v=" Civic           "/>
    <x v="3"/>
    <x v="3"/>
    <x v="3"/>
  </r>
  <r>
    <n v="22"/>
    <d v="2022-03-30T00:00:00"/>
    <n v="5"/>
    <n v="8"/>
    <n v="1"/>
    <n v="26000"/>
    <n v="2600"/>
    <s v=" Philippines  "/>
    <s v=" X-Trail         "/>
    <x v="4"/>
    <x v="2"/>
    <x v="2"/>
  </r>
  <r>
    <n v="23"/>
    <d v="2022-03-31T00:00:00"/>
    <n v="5"/>
    <n v="15"/>
    <n v="3"/>
    <n v="72000"/>
    <n v="7200"/>
    <s v=" Philippines  "/>
    <s v=" Mazda3          "/>
    <x v="5"/>
    <x v="2"/>
    <x v="2"/>
  </r>
  <r>
    <n v="24"/>
    <d v="2022-04-01T00:00:00"/>
    <n v="5"/>
    <n v="15"/>
    <n v="1"/>
    <n v="24000"/>
    <n v="2400"/>
    <s v=" Philippines  "/>
    <s v=" Mazda3          "/>
    <x v="5"/>
    <x v="2"/>
    <x v="2"/>
  </r>
  <r>
    <n v="25"/>
    <d v="2022-04-02T00:00:00"/>
    <n v="7"/>
    <n v="10"/>
    <n v="2"/>
    <n v="64000"/>
    <n v="6400"/>
    <s v=" Philippines  "/>
    <s v=" Outlander       "/>
    <x v="1"/>
    <x v="3"/>
    <x v="3"/>
  </r>
  <r>
    <n v="26"/>
    <d v="2022-04-05T00:00:00"/>
    <n v="4"/>
    <n v="11"/>
    <n v="1"/>
    <n v="16000"/>
    <n v="3200"/>
    <s v=" Philippines  "/>
    <s v=" Accent          "/>
    <x v="7"/>
    <x v="1"/>
    <x v="1"/>
  </r>
  <r>
    <n v="27"/>
    <d v="2022-04-06T00:00:00"/>
    <n v="7"/>
    <n v="14"/>
    <n v="1"/>
    <n v="25000"/>
    <n v="5000"/>
    <s v=" Philippines  "/>
    <s v=" X70             "/>
    <x v="2"/>
    <x v="3"/>
    <x v="3"/>
  </r>
  <r>
    <n v="28"/>
    <d v="2022-04-07T00:00:00"/>
    <n v="2"/>
    <n v="4"/>
    <n v="3"/>
    <n v="84000"/>
    <n v="8400"/>
    <s v=" Malaysia     "/>
    <s v=" CR-V            "/>
    <x v="3"/>
    <x v="5"/>
    <x v="5"/>
  </r>
  <r>
    <n v="29"/>
    <d v="2022-04-08T00:00:00"/>
    <n v="3"/>
    <n v="5"/>
    <n v="1"/>
    <n v="25000"/>
    <n v="2500"/>
    <s v=" Singapore    "/>
    <s v=" Ranger          "/>
    <x v="6"/>
    <x v="8"/>
    <x v="8"/>
  </r>
  <r>
    <n v="30"/>
    <d v="2022-04-09T00:00:00"/>
    <n v="1"/>
    <n v="15"/>
    <n v="1"/>
    <n v="24000"/>
    <n v="2400"/>
    <s v=" Malaysia     "/>
    <s v=" Mazda3          "/>
    <x v="5"/>
    <x v="6"/>
    <x v="6"/>
  </r>
  <r>
    <n v="31"/>
    <d v="2022-04-12T00:00:00"/>
    <n v="9"/>
    <n v="11"/>
    <n v="2"/>
    <n v="32000"/>
    <n v="6400"/>
    <s v=" Philippines  "/>
    <s v=" Accent          "/>
    <x v="7"/>
    <x v="7"/>
    <x v="7"/>
  </r>
  <r>
    <n v="32"/>
    <d v="2022-04-13T00:00:00"/>
    <n v="10"/>
    <n v="12"/>
    <n v="1"/>
    <n v="34000"/>
    <n v="3400"/>
    <s v=" Philippines  "/>
    <s v=" Santa Fe        "/>
    <x v="7"/>
    <x v="9"/>
    <x v="9"/>
  </r>
  <r>
    <n v="33"/>
    <d v="2022-04-14T00:00:00"/>
    <n v="3"/>
    <n v="8"/>
    <n v="3"/>
    <n v="78000"/>
    <n v="7800"/>
    <s v=" Singapore    "/>
    <s v=" X-Trail         "/>
    <x v="4"/>
    <x v="8"/>
    <x v="8"/>
  </r>
  <r>
    <n v="34"/>
    <d v="2022-04-15T00:00:00"/>
    <n v="6"/>
    <n v="1"/>
    <n v="1"/>
    <n v="15000"/>
    <n v="1500"/>
    <s v=" Philippines  "/>
    <s v=" Vios            "/>
    <x v="0"/>
    <x v="0"/>
    <x v="0"/>
  </r>
  <r>
    <n v="35"/>
    <d v="2022-04-16T00:00:00"/>
    <n v="10"/>
    <n v="1"/>
    <n v="2"/>
    <n v="30000"/>
    <n v="3000"/>
    <s v=" Philippines  "/>
    <s v=" Vios            "/>
    <x v="0"/>
    <x v="9"/>
    <x v="9"/>
  </r>
  <r>
    <n v="36"/>
    <d v="2022-04-19T00:00:00"/>
    <n v="2"/>
    <n v="13"/>
    <n v="1"/>
    <n v="12000"/>
    <n v="1200"/>
    <s v=" Malaysia     "/>
    <s v=" Persona         "/>
    <x v="2"/>
    <x v="5"/>
    <x v="5"/>
  </r>
  <r>
    <n v="37"/>
    <d v="2022-04-20T00:00:00"/>
    <n v="9"/>
    <n v="2"/>
    <n v="1"/>
    <n v="20000"/>
    <n v="2000"/>
    <s v=" Philippines  "/>
    <s v=" Corolla Altis   "/>
    <x v="0"/>
    <x v="7"/>
    <x v="7"/>
  </r>
  <r>
    <n v="38"/>
    <d v="2022-04-21T00:00:00"/>
    <n v="9"/>
    <n v="14"/>
    <n v="3"/>
    <n v="75000"/>
    <n v="15000"/>
    <s v=" Philippines  "/>
    <s v=" X70             "/>
    <x v="2"/>
    <x v="7"/>
    <x v="7"/>
  </r>
  <r>
    <n v="39"/>
    <d v="2022-04-22T00:00:00"/>
    <n v="6"/>
    <n v="15"/>
    <n v="1"/>
    <n v="24000"/>
    <n v="2400"/>
    <s v=" Philippines  "/>
    <s v=" Mazda3          "/>
    <x v="5"/>
    <x v="0"/>
    <x v="0"/>
  </r>
  <r>
    <n v="40"/>
    <d v="2022-04-23T00:00:00"/>
    <n v="6"/>
    <n v="10"/>
    <n v="1"/>
    <n v="32000"/>
    <n v="3200"/>
    <s v=" Philippines  "/>
    <s v=" Outlander       "/>
    <x v="1"/>
    <x v="0"/>
    <x v="0"/>
  </r>
  <r>
    <n v="41"/>
    <d v="2022-04-26T00:00:00"/>
    <n v="1"/>
    <n v="4"/>
    <n v="2"/>
    <n v="56000"/>
    <n v="5600"/>
    <s v=" Malaysia     "/>
    <s v=" CR-V            "/>
    <x v="3"/>
    <x v="6"/>
    <x v="6"/>
  </r>
  <r>
    <n v="42"/>
    <d v="2022-04-27T00:00:00"/>
    <n v="9"/>
    <n v="8"/>
    <n v="1"/>
    <n v="26000"/>
    <n v="2600"/>
    <s v=" Philippines  "/>
    <s v=" X-Trail         "/>
    <x v="4"/>
    <x v="7"/>
    <x v="7"/>
  </r>
  <r>
    <n v="43"/>
    <d v="2022-04-28T00:00:00"/>
    <n v="10"/>
    <n v="9"/>
    <n v="3"/>
    <n v="54000"/>
    <n v="5400"/>
    <s v=" Philippines  "/>
    <s v=" Xpander         "/>
    <x v="1"/>
    <x v="9"/>
    <x v="9"/>
  </r>
  <r>
    <n v="44"/>
    <d v="2022-04-29T00:00:00"/>
    <n v="9"/>
    <n v="11"/>
    <n v="1"/>
    <n v="16000"/>
    <n v="3200"/>
    <s v=" Philippines  "/>
    <s v=" Accent          "/>
    <x v="7"/>
    <x v="7"/>
    <x v="7"/>
  </r>
  <r>
    <n v="45"/>
    <d v="2022-04-30T00:00:00"/>
    <n v="8"/>
    <n v="6"/>
    <n v="2"/>
    <n v="60000"/>
    <n v="6000"/>
    <s v=" Philippines  "/>
    <s v=" Everest         "/>
    <x v="6"/>
    <x v="4"/>
    <x v="4"/>
  </r>
  <r>
    <n v="46"/>
    <d v="2022-05-03T00:00:00"/>
    <n v="4"/>
    <n v="6"/>
    <n v="1"/>
    <n v="30000"/>
    <n v="3000"/>
    <s v=" Philippines  "/>
    <s v=" Everest         "/>
    <x v="6"/>
    <x v="1"/>
    <x v="1"/>
  </r>
  <r>
    <n v="47"/>
    <d v="2022-05-04T00:00:00"/>
    <n v="6"/>
    <n v="6"/>
    <n v="1"/>
    <n v="30000"/>
    <n v="3000"/>
    <s v=" Philippines  "/>
    <s v=" Everest         "/>
    <x v="6"/>
    <x v="0"/>
    <x v="0"/>
  </r>
  <r>
    <n v="48"/>
    <d v="2022-05-05T00:00:00"/>
    <n v="9"/>
    <n v="6"/>
    <n v="3"/>
    <n v="90000"/>
    <n v="9000"/>
    <s v=" Philippines  "/>
    <s v=" Everest         "/>
    <x v="6"/>
    <x v="7"/>
    <x v="7"/>
  </r>
  <r>
    <n v="49"/>
    <d v="2022-05-06T00:00:00"/>
    <n v="2"/>
    <n v="15"/>
    <n v="1"/>
    <n v="24000"/>
    <n v="2400"/>
    <s v=" Malaysia     "/>
    <s v=" Mazda3          "/>
    <x v="5"/>
    <x v="5"/>
    <x v="5"/>
  </r>
  <r>
    <n v="50"/>
    <d v="2022-05-07T00:00:00"/>
    <n v="10"/>
    <n v="9"/>
    <n v="1"/>
    <n v="18000"/>
    <n v="1800"/>
    <s v=" Philippines  "/>
    <s v=" Xpander         "/>
    <x v="1"/>
    <x v="9"/>
    <x v="9"/>
  </r>
  <r>
    <n v="51"/>
    <d v="2022-05-10T00:00:00"/>
    <n v="10"/>
    <n v="5"/>
    <n v="2"/>
    <n v="50000"/>
    <n v="5000"/>
    <s v=" Philippines  "/>
    <s v=" Ranger          "/>
    <x v="6"/>
    <x v="9"/>
    <x v="9"/>
  </r>
  <r>
    <n v="52"/>
    <d v="2022-05-11T00:00:00"/>
    <n v="10"/>
    <n v="5"/>
    <n v="1"/>
    <n v="25000"/>
    <n v="2500"/>
    <s v=" Philippines  "/>
    <s v=" Ranger          "/>
    <x v="6"/>
    <x v="9"/>
    <x v="9"/>
  </r>
  <r>
    <n v="53"/>
    <d v="2022-05-12T00:00:00"/>
    <n v="10"/>
    <n v="14"/>
    <n v="3"/>
    <n v="75000"/>
    <n v="15000"/>
    <s v=" Philippines  "/>
    <s v=" X70             "/>
    <x v="2"/>
    <x v="9"/>
    <x v="9"/>
  </r>
  <r>
    <n v="54"/>
    <d v="2022-05-13T00:00:00"/>
    <n v="8"/>
    <n v="3"/>
    <n v="1"/>
    <n v="22000"/>
    <n v="4400"/>
    <s v=" Philippines  "/>
    <s v=" Civic           "/>
    <x v="3"/>
    <x v="4"/>
    <x v="4"/>
  </r>
  <r>
    <n v="55"/>
    <d v="2022-05-14T00:00:00"/>
    <n v="8"/>
    <n v="6"/>
    <n v="2"/>
    <n v="60000"/>
    <n v="6000"/>
    <s v=" Philippines  "/>
    <s v=" Everest         "/>
    <x v="6"/>
    <x v="4"/>
    <x v="4"/>
  </r>
  <r>
    <n v="56"/>
    <d v="2022-05-17T00:00:00"/>
    <n v="2"/>
    <n v="10"/>
    <n v="1"/>
    <n v="32000"/>
    <n v="3200"/>
    <s v=" Malaysia     "/>
    <s v=" Outlander       "/>
    <x v="1"/>
    <x v="5"/>
    <x v="5"/>
  </r>
  <r>
    <n v="57"/>
    <d v="2022-05-18T00:00:00"/>
    <n v="10"/>
    <n v="13"/>
    <n v="1"/>
    <n v="12000"/>
    <n v="1200"/>
    <s v=" Philippines  "/>
    <s v=" Persona         "/>
    <x v="2"/>
    <x v="9"/>
    <x v="9"/>
  </r>
  <r>
    <n v="58"/>
    <d v="2022-05-19T00:00:00"/>
    <n v="1"/>
    <n v="5"/>
    <n v="3"/>
    <n v="75000"/>
    <n v="7500"/>
    <s v=" Malaysia     "/>
    <s v=" Ranger          "/>
    <x v="6"/>
    <x v="6"/>
    <x v="6"/>
  </r>
  <r>
    <n v="59"/>
    <d v="2022-05-20T00:00:00"/>
    <n v="6"/>
    <n v="5"/>
    <n v="1"/>
    <n v="25000"/>
    <n v="2500"/>
    <s v=" Philippines  "/>
    <s v=" Ranger          "/>
    <x v="6"/>
    <x v="0"/>
    <x v="0"/>
  </r>
  <r>
    <n v="60"/>
    <d v="2022-05-21T00:00:00"/>
    <n v="9"/>
    <n v="2"/>
    <n v="1"/>
    <n v="20000"/>
    <n v="2000"/>
    <s v=" Philippines  "/>
    <s v=" Corolla Altis   "/>
    <x v="0"/>
    <x v="7"/>
    <x v="7"/>
  </r>
  <r>
    <n v="61"/>
    <d v="2022-05-24T00:00:00"/>
    <n v="5"/>
    <n v="3"/>
    <n v="2"/>
    <n v="44000"/>
    <n v="8800"/>
    <s v=" Philippines  "/>
    <s v=" Civic           "/>
    <x v="3"/>
    <x v="2"/>
    <x v="2"/>
  </r>
  <r>
    <n v="62"/>
    <d v="2022-05-25T00:00:00"/>
    <n v="5"/>
    <n v="10"/>
    <n v="1"/>
    <n v="32000"/>
    <n v="3200"/>
    <s v=" Philippines  "/>
    <s v=" Outlander       "/>
    <x v="1"/>
    <x v="2"/>
    <x v="2"/>
  </r>
  <r>
    <n v="63"/>
    <d v="2022-05-26T00:00:00"/>
    <n v="10"/>
    <n v="12"/>
    <n v="3"/>
    <n v="102000"/>
    <n v="10200"/>
    <s v=" Philippines  "/>
    <s v=" Santa Fe        "/>
    <x v="7"/>
    <x v="9"/>
    <x v="9"/>
  </r>
  <r>
    <n v="64"/>
    <d v="2022-05-27T00:00:00"/>
    <n v="3"/>
    <n v="6"/>
    <n v="1"/>
    <n v="30000"/>
    <n v="3000"/>
    <s v=" Singapore    "/>
    <s v=" Everest         "/>
    <x v="6"/>
    <x v="8"/>
    <x v="8"/>
  </r>
  <r>
    <n v="65"/>
    <d v="2022-05-28T00:00:00"/>
    <n v="9"/>
    <n v="3"/>
    <n v="2"/>
    <n v="44000"/>
    <n v="8800"/>
    <s v=" Philippines  "/>
    <s v=" Civic           "/>
    <x v="3"/>
    <x v="7"/>
    <x v="7"/>
  </r>
  <r>
    <n v="66"/>
    <d v="2022-05-31T00:00:00"/>
    <n v="4"/>
    <n v="14"/>
    <n v="1"/>
    <n v="25000"/>
    <n v="5000"/>
    <s v=" Philippines  "/>
    <s v=" X70             "/>
    <x v="2"/>
    <x v="1"/>
    <x v="1"/>
  </r>
  <r>
    <n v="67"/>
    <d v="2022-06-01T00:00:00"/>
    <n v="1"/>
    <n v="13"/>
    <n v="1"/>
    <n v="12000"/>
    <n v="1200"/>
    <s v=" Malaysia     "/>
    <s v=" Persona         "/>
    <x v="2"/>
    <x v="6"/>
    <x v="6"/>
  </r>
  <r>
    <n v="68"/>
    <d v="2022-06-02T00:00:00"/>
    <n v="7"/>
    <n v="11"/>
    <n v="3"/>
    <n v="48000"/>
    <n v="9600"/>
    <s v=" Philippines  "/>
    <s v=" Accent          "/>
    <x v="7"/>
    <x v="3"/>
    <x v="3"/>
  </r>
  <r>
    <n v="69"/>
    <d v="2022-06-03T00:00:00"/>
    <n v="9"/>
    <n v="8"/>
    <n v="1"/>
    <n v="26000"/>
    <n v="2600"/>
    <s v=" Philippines  "/>
    <s v=" X-Trail         "/>
    <x v="4"/>
    <x v="7"/>
    <x v="7"/>
  </r>
  <r>
    <n v="70"/>
    <d v="2022-06-04T00:00:00"/>
    <n v="10"/>
    <n v="1"/>
    <n v="1"/>
    <n v="15000"/>
    <n v="1500"/>
    <s v=" Philippines  "/>
    <s v=" Vios            "/>
    <x v="0"/>
    <x v="9"/>
    <x v="9"/>
  </r>
  <r>
    <n v="71"/>
    <d v="2022-06-07T00:00:00"/>
    <n v="7"/>
    <n v="12"/>
    <n v="2"/>
    <n v="68000"/>
    <n v="6800"/>
    <s v=" Philippines  "/>
    <s v=" Santa Fe        "/>
    <x v="7"/>
    <x v="3"/>
    <x v="3"/>
  </r>
  <r>
    <n v="72"/>
    <d v="2022-06-08T00:00:00"/>
    <n v="3"/>
    <n v="9"/>
    <n v="1"/>
    <n v="18000"/>
    <n v="1800"/>
    <s v=" Singapore    "/>
    <s v=" Xpander         "/>
    <x v="1"/>
    <x v="8"/>
    <x v="8"/>
  </r>
  <r>
    <n v="73"/>
    <d v="2022-06-09T00:00:00"/>
    <n v="9"/>
    <n v="7"/>
    <n v="3"/>
    <n v="42000"/>
    <n v="4200"/>
    <s v=" Philippines  "/>
    <s v=" Almera          "/>
    <x v="4"/>
    <x v="7"/>
    <x v="7"/>
  </r>
  <r>
    <n v="74"/>
    <d v="2022-06-10T00:00:00"/>
    <n v="6"/>
    <n v="13"/>
    <n v="1"/>
    <n v="12000"/>
    <n v="1200"/>
    <s v=" Philippines  "/>
    <s v=" Persona         "/>
    <x v="2"/>
    <x v="0"/>
    <x v="0"/>
  </r>
  <r>
    <n v="75"/>
    <d v="2022-06-11T00:00:00"/>
    <n v="9"/>
    <n v="3"/>
    <n v="2"/>
    <n v="44000"/>
    <n v="8800"/>
    <s v=" Philippines  "/>
    <s v=" Civic           "/>
    <x v="3"/>
    <x v="7"/>
    <x v="7"/>
  </r>
  <r>
    <n v="76"/>
    <d v="2022-06-14T00:00:00"/>
    <n v="6"/>
    <n v="7"/>
    <n v="1"/>
    <n v="14000"/>
    <n v="1400"/>
    <s v=" Philippines  "/>
    <s v=" Almera          "/>
    <x v="4"/>
    <x v="0"/>
    <x v="0"/>
  </r>
  <r>
    <n v="77"/>
    <d v="2022-06-15T00:00:00"/>
    <n v="3"/>
    <n v="7"/>
    <n v="1"/>
    <n v="14000"/>
    <n v="1400"/>
    <s v=" Singapore    "/>
    <s v=" Almera          "/>
    <x v="4"/>
    <x v="8"/>
    <x v="8"/>
  </r>
  <r>
    <n v="78"/>
    <d v="2022-06-16T00:00:00"/>
    <n v="3"/>
    <n v="8"/>
    <n v="3"/>
    <n v="78000"/>
    <n v="7800"/>
    <s v=" Singapore    "/>
    <s v=" X-Trail         "/>
    <x v="4"/>
    <x v="8"/>
    <x v="8"/>
  </r>
  <r>
    <n v="79"/>
    <d v="2022-06-17T00:00:00"/>
    <n v="5"/>
    <n v="11"/>
    <n v="1"/>
    <n v="16000"/>
    <n v="3200"/>
    <s v=" Philippines  "/>
    <s v=" Accent          "/>
    <x v="7"/>
    <x v="2"/>
    <x v="2"/>
  </r>
  <r>
    <n v="80"/>
    <d v="2022-06-18T00:00:00"/>
    <n v="5"/>
    <n v="9"/>
    <n v="1"/>
    <n v="18000"/>
    <n v="1800"/>
    <s v=" Philippines  "/>
    <s v=" Xpander         "/>
    <x v="1"/>
    <x v="2"/>
    <x v="2"/>
  </r>
  <r>
    <n v="81"/>
    <d v="2022-06-21T00:00:00"/>
    <n v="7"/>
    <n v="8"/>
    <n v="2"/>
    <n v="52000"/>
    <n v="5200"/>
    <s v=" Philippines  "/>
    <s v=" X-Trail         "/>
    <x v="4"/>
    <x v="3"/>
    <x v="3"/>
  </r>
  <r>
    <n v="82"/>
    <d v="2022-06-22T00:00:00"/>
    <n v="4"/>
    <n v="7"/>
    <n v="1"/>
    <n v="14000"/>
    <n v="1400"/>
    <s v=" Philippines  "/>
    <s v=" Almera          "/>
    <x v="4"/>
    <x v="1"/>
    <x v="1"/>
  </r>
  <r>
    <n v="83"/>
    <d v="2022-06-23T00:00:00"/>
    <n v="10"/>
    <n v="10"/>
    <n v="3"/>
    <n v="96000"/>
    <n v="9600"/>
    <s v=" Philippines  "/>
    <s v=" Outlander       "/>
    <x v="1"/>
    <x v="9"/>
    <x v="9"/>
  </r>
  <r>
    <n v="84"/>
    <d v="2022-06-24T00:00:00"/>
    <n v="9"/>
    <n v="14"/>
    <n v="1"/>
    <n v="25000"/>
    <n v="5000"/>
    <s v=" Philippines  "/>
    <s v=" X70             "/>
    <x v="2"/>
    <x v="7"/>
    <x v="7"/>
  </r>
  <r>
    <n v="85"/>
    <d v="2022-06-25T00:00:00"/>
    <n v="8"/>
    <n v="11"/>
    <n v="2"/>
    <n v="32000"/>
    <n v="6400"/>
    <s v=" Philippines  "/>
    <s v=" Accent          "/>
    <x v="7"/>
    <x v="4"/>
    <x v="4"/>
  </r>
  <r>
    <n v="86"/>
    <d v="2022-06-28T00:00:00"/>
    <n v="3"/>
    <n v="5"/>
    <n v="1"/>
    <n v="25000"/>
    <n v="2500"/>
    <s v=" Singapore    "/>
    <s v=" Ranger          "/>
    <x v="6"/>
    <x v="8"/>
    <x v="8"/>
  </r>
  <r>
    <n v="87"/>
    <d v="2022-06-29T00:00:00"/>
    <n v="9"/>
    <n v="7"/>
    <n v="1"/>
    <n v="14000"/>
    <n v="1400"/>
    <s v=" Philippines  "/>
    <s v=" Almera          "/>
    <x v="4"/>
    <x v="7"/>
    <x v="7"/>
  </r>
  <r>
    <n v="88"/>
    <d v="2022-06-30T00:00:00"/>
    <n v="8"/>
    <n v="4"/>
    <n v="3"/>
    <n v="84000"/>
    <n v="8400"/>
    <s v=" Philippines  "/>
    <s v=" CR-V            "/>
    <x v="3"/>
    <x v="4"/>
    <x v="4"/>
  </r>
  <r>
    <n v="89"/>
    <d v="2022-07-01T00:00:00"/>
    <n v="10"/>
    <n v="9"/>
    <n v="1"/>
    <n v="18000"/>
    <n v="1800"/>
    <s v=" Philippines  "/>
    <s v=" Xpander         "/>
    <x v="1"/>
    <x v="9"/>
    <x v="9"/>
  </r>
  <r>
    <n v="90"/>
    <d v="2022-07-02T00:00:00"/>
    <n v="1"/>
    <n v="4"/>
    <n v="1"/>
    <n v="28000"/>
    <n v="2800"/>
    <s v=" Malaysia     "/>
    <s v=" CR-V            "/>
    <x v="3"/>
    <x v="6"/>
    <x v="6"/>
  </r>
  <r>
    <n v="91"/>
    <d v="2022-07-05T00:00:00"/>
    <n v="7"/>
    <n v="10"/>
    <n v="2"/>
    <n v="64000"/>
    <n v="6400"/>
    <s v=" Philippines  "/>
    <s v=" Outlander       "/>
    <x v="1"/>
    <x v="3"/>
    <x v="3"/>
  </r>
  <r>
    <n v="92"/>
    <d v="2022-07-06T00:00:00"/>
    <n v="9"/>
    <n v="15"/>
    <n v="1"/>
    <n v="24000"/>
    <n v="2400"/>
    <s v=" Philippines  "/>
    <s v=" Mazda3          "/>
    <x v="5"/>
    <x v="7"/>
    <x v="7"/>
  </r>
  <r>
    <n v="93"/>
    <d v="2022-07-07T00:00:00"/>
    <n v="10"/>
    <n v="1"/>
    <n v="3"/>
    <n v="45000"/>
    <n v="4500"/>
    <s v=" Philippines  "/>
    <s v=" Vios            "/>
    <x v="0"/>
    <x v="9"/>
    <x v="9"/>
  </r>
  <r>
    <n v="94"/>
    <d v="2022-07-08T00:00:00"/>
    <n v="3"/>
    <n v="14"/>
    <n v="1"/>
    <n v="25000"/>
    <n v="5000"/>
    <s v=" Singapore    "/>
    <s v=" X70             "/>
    <x v="2"/>
    <x v="8"/>
    <x v="8"/>
  </r>
  <r>
    <n v="95"/>
    <d v="2022-07-09T00:00:00"/>
    <n v="8"/>
    <n v="12"/>
    <n v="2"/>
    <n v="68000"/>
    <n v="6800"/>
    <s v=" Philippines  "/>
    <s v=" Santa Fe        "/>
    <x v="7"/>
    <x v="4"/>
    <x v="4"/>
  </r>
  <r>
    <n v="96"/>
    <d v="2022-07-12T00:00:00"/>
    <n v="10"/>
    <n v="2"/>
    <n v="1"/>
    <n v="20000"/>
    <n v="2000"/>
    <s v=" Philippines  "/>
    <s v=" Corolla Altis   "/>
    <x v="0"/>
    <x v="9"/>
    <x v="9"/>
  </r>
  <r>
    <n v="97"/>
    <d v="2022-07-13T00:00:00"/>
    <n v="3"/>
    <n v="14"/>
    <n v="1"/>
    <n v="25000"/>
    <n v="5000"/>
    <s v=" Singapore    "/>
    <s v=" X70             "/>
    <x v="2"/>
    <x v="8"/>
    <x v="8"/>
  </r>
  <r>
    <n v="98"/>
    <d v="2022-07-14T00:00:00"/>
    <n v="2"/>
    <n v="1"/>
    <n v="3"/>
    <n v="45000"/>
    <n v="4500"/>
    <s v=" Malaysia     "/>
    <s v=" Vios            "/>
    <x v="0"/>
    <x v="5"/>
    <x v="5"/>
  </r>
  <r>
    <n v="99"/>
    <d v="2022-07-15T00:00:00"/>
    <n v="5"/>
    <n v="6"/>
    <n v="1"/>
    <n v="30000"/>
    <n v="3000"/>
    <s v=" Philippines  "/>
    <s v=" Everest         "/>
    <x v="6"/>
    <x v="2"/>
    <x v="2"/>
  </r>
  <r>
    <n v="100"/>
    <d v="2022-07-16T00:00:00"/>
    <n v="9"/>
    <n v="8"/>
    <n v="1"/>
    <n v="26000"/>
    <n v="2600"/>
    <s v=" Philippines  "/>
    <s v=" X-Trail         "/>
    <x v="4"/>
    <x v="7"/>
    <x v="7"/>
  </r>
  <r>
    <n v="101"/>
    <d v="2022-07-19T00:00:00"/>
    <n v="8"/>
    <n v="7"/>
    <n v="2"/>
    <n v="28000"/>
    <n v="2800"/>
    <s v=" Philippines  "/>
    <s v=" Almera          "/>
    <x v="4"/>
    <x v="4"/>
    <x v="4"/>
  </r>
  <r>
    <n v="102"/>
    <d v="2022-07-20T00:00:00"/>
    <n v="2"/>
    <n v="10"/>
    <n v="1"/>
    <n v="32000"/>
    <n v="3200"/>
    <s v=" Malaysia     "/>
    <s v=" Outlander       "/>
    <x v="1"/>
    <x v="5"/>
    <x v="5"/>
  </r>
  <r>
    <n v="103"/>
    <d v="2022-07-21T00:00:00"/>
    <n v="9"/>
    <n v="9"/>
    <n v="3"/>
    <n v="54000"/>
    <n v="5400"/>
    <s v=" Philippines  "/>
    <s v=" Xpander         "/>
    <x v="1"/>
    <x v="7"/>
    <x v="7"/>
  </r>
  <r>
    <n v="104"/>
    <d v="2022-07-22T00:00:00"/>
    <n v="2"/>
    <n v="12"/>
    <n v="1"/>
    <n v="34000"/>
    <n v="3400"/>
    <s v=" Malaysia     "/>
    <s v=" Santa Fe        "/>
    <x v="7"/>
    <x v="5"/>
    <x v="5"/>
  </r>
  <r>
    <n v="105"/>
    <d v="2022-07-23T00:00:00"/>
    <n v="10"/>
    <n v="9"/>
    <n v="2"/>
    <n v="36000"/>
    <n v="3600"/>
    <s v=" Philippines  "/>
    <s v=" Xpander         "/>
    <x v="1"/>
    <x v="9"/>
    <x v="9"/>
  </r>
  <r>
    <n v="106"/>
    <d v="2022-07-26T00:00:00"/>
    <n v="3"/>
    <n v="10"/>
    <n v="1"/>
    <n v="32000"/>
    <n v="3200"/>
    <s v=" Singapore    "/>
    <s v=" Outlander       "/>
    <x v="1"/>
    <x v="8"/>
    <x v="8"/>
  </r>
  <r>
    <n v="107"/>
    <d v="2022-07-27T00:00:00"/>
    <n v="3"/>
    <n v="10"/>
    <n v="1"/>
    <n v="32000"/>
    <n v="3200"/>
    <s v=" Singapore    "/>
    <s v=" Outlander       "/>
    <x v="1"/>
    <x v="8"/>
    <x v="8"/>
  </r>
  <r>
    <n v="108"/>
    <d v="2022-07-28T00:00:00"/>
    <n v="1"/>
    <n v="7"/>
    <n v="3"/>
    <n v="42000"/>
    <n v="4200"/>
    <s v=" Malaysia     "/>
    <s v=" Almera          "/>
    <x v="4"/>
    <x v="6"/>
    <x v="6"/>
  </r>
  <r>
    <n v="109"/>
    <d v="2022-07-29T00:00:00"/>
    <n v="1"/>
    <n v="2"/>
    <n v="1"/>
    <n v="20000"/>
    <n v="2000"/>
    <s v=" Malaysia     "/>
    <s v=" Corolla Altis   "/>
    <x v="0"/>
    <x v="6"/>
    <x v="6"/>
  </r>
  <r>
    <n v="110"/>
    <d v="2022-07-30T00:00:00"/>
    <n v="10"/>
    <n v="6"/>
    <n v="1"/>
    <n v="30000"/>
    <n v="3000"/>
    <s v=" Philippines  "/>
    <s v=" Everest         "/>
    <x v="6"/>
    <x v="9"/>
    <x v="9"/>
  </r>
  <r>
    <n v="111"/>
    <d v="2022-08-02T00:00:00"/>
    <n v="4"/>
    <n v="9"/>
    <n v="2"/>
    <n v="36000"/>
    <n v="3600"/>
    <s v=" Philippines  "/>
    <s v=" Xpander         "/>
    <x v="1"/>
    <x v="1"/>
    <x v="1"/>
  </r>
  <r>
    <n v="112"/>
    <d v="2022-08-03T00:00:00"/>
    <n v="9"/>
    <n v="15"/>
    <n v="1"/>
    <n v="24000"/>
    <n v="2400"/>
    <s v=" Philippines  "/>
    <s v=" Mazda3          "/>
    <x v="5"/>
    <x v="7"/>
    <x v="7"/>
  </r>
  <r>
    <n v="113"/>
    <d v="2022-08-04T00:00:00"/>
    <n v="6"/>
    <n v="7"/>
    <n v="3"/>
    <n v="42000"/>
    <n v="4200"/>
    <s v=" Philippines  "/>
    <s v=" Almera          "/>
    <x v="4"/>
    <x v="0"/>
    <x v="0"/>
  </r>
  <r>
    <n v="114"/>
    <d v="2022-08-05T00:00:00"/>
    <n v="6"/>
    <n v="15"/>
    <n v="1"/>
    <n v="24000"/>
    <n v="2400"/>
    <s v=" Philippines  "/>
    <s v=" Mazda3          "/>
    <x v="5"/>
    <x v="0"/>
    <x v="0"/>
  </r>
  <r>
    <n v="115"/>
    <d v="2022-08-06T00:00:00"/>
    <n v="2"/>
    <n v="11"/>
    <n v="2"/>
    <n v="32000"/>
    <n v="6400"/>
    <s v=" Malaysia     "/>
    <s v=" Accent          "/>
    <x v="7"/>
    <x v="5"/>
    <x v="5"/>
  </r>
  <r>
    <n v="116"/>
    <d v="2022-08-09T00:00:00"/>
    <n v="8"/>
    <n v="2"/>
    <n v="1"/>
    <n v="20000"/>
    <n v="2000"/>
    <s v=" Philippines  "/>
    <s v=" Corolla Altis   "/>
    <x v="0"/>
    <x v="4"/>
    <x v="4"/>
  </r>
  <r>
    <n v="117"/>
    <d v="2022-08-10T00:00:00"/>
    <n v="6"/>
    <n v="6"/>
    <n v="1"/>
    <n v="30000"/>
    <n v="3000"/>
    <s v=" Philippines  "/>
    <s v=" Everest         "/>
    <x v="6"/>
    <x v="0"/>
    <x v="0"/>
  </r>
  <r>
    <n v="118"/>
    <d v="2022-08-11T00:00:00"/>
    <n v="2"/>
    <n v="9"/>
    <n v="3"/>
    <n v="54000"/>
    <n v="5400"/>
    <s v=" Malaysia     "/>
    <s v=" Xpander         "/>
    <x v="1"/>
    <x v="5"/>
    <x v="5"/>
  </r>
  <r>
    <n v="119"/>
    <d v="2022-08-12T00:00:00"/>
    <n v="5"/>
    <n v="15"/>
    <n v="1"/>
    <n v="24000"/>
    <n v="2400"/>
    <s v=" Philippines  "/>
    <s v=" Mazda3          "/>
    <x v="5"/>
    <x v="2"/>
    <x v="2"/>
  </r>
  <r>
    <n v="120"/>
    <d v="2022-08-13T00:00:00"/>
    <n v="2"/>
    <n v="7"/>
    <n v="1"/>
    <n v="14000"/>
    <n v="1400"/>
    <s v=" Malaysia     "/>
    <s v=" Almera          "/>
    <x v="4"/>
    <x v="5"/>
    <x v="5"/>
  </r>
  <r>
    <n v="121"/>
    <d v="2022-08-16T00:00:00"/>
    <n v="3"/>
    <n v="6"/>
    <n v="2"/>
    <n v="60000"/>
    <n v="6000"/>
    <s v=" Singapore    "/>
    <s v=" Everest         "/>
    <x v="6"/>
    <x v="8"/>
    <x v="8"/>
  </r>
  <r>
    <n v="122"/>
    <d v="2022-08-17T00:00:00"/>
    <n v="1"/>
    <n v="15"/>
    <n v="1"/>
    <n v="24000"/>
    <n v="2400"/>
    <s v=" Malaysia     "/>
    <s v=" Mazda3          "/>
    <x v="5"/>
    <x v="6"/>
    <x v="6"/>
  </r>
  <r>
    <n v="123"/>
    <d v="2022-08-18T00:00:00"/>
    <n v="8"/>
    <n v="14"/>
    <n v="3"/>
    <n v="75000"/>
    <n v="15000"/>
    <s v=" Philippines  "/>
    <s v=" X70             "/>
    <x v="2"/>
    <x v="4"/>
    <x v="4"/>
  </r>
  <r>
    <n v="124"/>
    <d v="2022-08-19T00:00:00"/>
    <n v="2"/>
    <n v="5"/>
    <n v="1"/>
    <n v="25000"/>
    <n v="2500"/>
    <s v=" Malaysia     "/>
    <s v=" Ranger          "/>
    <x v="6"/>
    <x v="5"/>
    <x v="5"/>
  </r>
  <r>
    <n v="125"/>
    <d v="2022-08-20T00:00:00"/>
    <n v="8"/>
    <n v="11"/>
    <n v="2"/>
    <n v="32000"/>
    <n v="6400"/>
    <s v=" Philippines  "/>
    <s v=" Accent          "/>
    <x v="7"/>
    <x v="4"/>
    <x v="4"/>
  </r>
  <r>
    <n v="126"/>
    <d v="2022-08-23T00:00:00"/>
    <n v="3"/>
    <n v="13"/>
    <n v="1"/>
    <n v="12000"/>
    <n v="1200"/>
    <s v=" Singapore    "/>
    <s v=" Persona         "/>
    <x v="2"/>
    <x v="8"/>
    <x v="8"/>
  </r>
  <r>
    <n v="127"/>
    <d v="2022-08-24T00:00:00"/>
    <n v="7"/>
    <n v="11"/>
    <n v="1"/>
    <n v="16000"/>
    <n v="3200"/>
    <s v=" Philippines  "/>
    <s v=" Accent          "/>
    <x v="7"/>
    <x v="3"/>
    <x v="3"/>
  </r>
  <r>
    <n v="128"/>
    <d v="2022-08-25T00:00:00"/>
    <n v="4"/>
    <n v="8"/>
    <n v="3"/>
    <n v="78000"/>
    <n v="7800"/>
    <s v=" Philippines  "/>
    <s v=" X-Trail         "/>
    <x v="4"/>
    <x v="1"/>
    <x v="1"/>
  </r>
  <r>
    <n v="129"/>
    <d v="2022-08-26T00:00:00"/>
    <n v="4"/>
    <n v="13"/>
    <n v="1"/>
    <n v="12000"/>
    <n v="1200"/>
    <s v=" Philippines  "/>
    <s v=" Persona         "/>
    <x v="2"/>
    <x v="1"/>
    <x v="1"/>
  </r>
  <r>
    <n v="130"/>
    <d v="2022-08-27T00:00:00"/>
    <n v="8"/>
    <n v="6"/>
    <n v="1"/>
    <n v="30000"/>
    <n v="3000"/>
    <s v=" Philippines  "/>
    <s v=" Everest         "/>
    <x v="6"/>
    <x v="4"/>
    <x v="4"/>
  </r>
  <r>
    <n v="131"/>
    <d v="2022-08-30T00:00:00"/>
    <n v="9"/>
    <n v="8"/>
    <n v="2"/>
    <n v="52000"/>
    <n v="5200"/>
    <s v=" Philippines  "/>
    <s v=" X-Trail         "/>
    <x v="4"/>
    <x v="7"/>
    <x v="7"/>
  </r>
  <r>
    <n v="132"/>
    <d v="2022-08-31T00:00:00"/>
    <n v="10"/>
    <n v="13"/>
    <n v="1"/>
    <n v="12000"/>
    <n v="1200"/>
    <s v=" Philippines  "/>
    <s v=" Persona         "/>
    <x v="2"/>
    <x v="9"/>
    <x v="9"/>
  </r>
  <r>
    <n v="133"/>
    <d v="2022-09-01T00:00:00"/>
    <n v="4"/>
    <n v="1"/>
    <n v="3"/>
    <n v="45000"/>
    <n v="4500"/>
    <s v=" Philippines  "/>
    <s v=" Vios            "/>
    <x v="0"/>
    <x v="1"/>
    <x v="1"/>
  </r>
  <r>
    <n v="134"/>
    <d v="2022-09-02T00:00:00"/>
    <n v="4"/>
    <n v="8"/>
    <n v="1"/>
    <n v="26000"/>
    <n v="2600"/>
    <s v=" Philippines  "/>
    <s v=" X-Trail         "/>
    <x v="4"/>
    <x v="1"/>
    <x v="1"/>
  </r>
  <r>
    <n v="135"/>
    <d v="2022-09-03T00:00:00"/>
    <n v="1"/>
    <n v="11"/>
    <n v="2"/>
    <n v="32000"/>
    <n v="6400"/>
    <s v=" Malaysia     "/>
    <s v=" Accent          "/>
    <x v="7"/>
    <x v="6"/>
    <x v="6"/>
  </r>
  <r>
    <n v="136"/>
    <d v="2022-09-06T00:00:00"/>
    <n v="4"/>
    <n v="14"/>
    <n v="1"/>
    <n v="25000"/>
    <n v="5000"/>
    <s v=" Philippines  "/>
    <s v=" X70             "/>
    <x v="2"/>
    <x v="1"/>
    <x v="1"/>
  </r>
  <r>
    <n v="137"/>
    <d v="2022-09-07T00:00:00"/>
    <n v="2"/>
    <n v="15"/>
    <n v="1"/>
    <n v="24000"/>
    <n v="2400"/>
    <s v=" Malaysia     "/>
    <s v=" Mazda3          "/>
    <x v="5"/>
    <x v="5"/>
    <x v="5"/>
  </r>
  <r>
    <n v="138"/>
    <d v="2022-09-08T00:00:00"/>
    <n v="8"/>
    <n v="9"/>
    <n v="3"/>
    <n v="54000"/>
    <n v="5400"/>
    <s v=" Philippines  "/>
    <s v=" Xpander         "/>
    <x v="1"/>
    <x v="4"/>
    <x v="4"/>
  </r>
  <r>
    <n v="139"/>
    <d v="2022-09-09T00:00:00"/>
    <n v="2"/>
    <n v="12"/>
    <n v="1"/>
    <n v="34000"/>
    <n v="3400"/>
    <s v=" Malaysia     "/>
    <s v=" Santa Fe        "/>
    <x v="7"/>
    <x v="5"/>
    <x v="5"/>
  </r>
  <r>
    <n v="140"/>
    <d v="2022-09-10T00:00:00"/>
    <n v="6"/>
    <n v="4"/>
    <n v="1"/>
    <n v="28000"/>
    <n v="2800"/>
    <s v=" Philippines  "/>
    <s v=" CR-V            "/>
    <x v="3"/>
    <x v="0"/>
    <x v="0"/>
  </r>
  <r>
    <n v="141"/>
    <d v="2022-09-13T00:00:00"/>
    <n v="6"/>
    <n v="2"/>
    <n v="2"/>
    <n v="40000"/>
    <n v="4000"/>
    <s v=" Philippines  "/>
    <s v=" Corolla Altis   "/>
    <x v="0"/>
    <x v="0"/>
    <x v="0"/>
  </r>
  <r>
    <n v="142"/>
    <d v="2022-09-14T00:00:00"/>
    <n v="9"/>
    <n v="14"/>
    <n v="1"/>
    <n v="25000"/>
    <n v="5000"/>
    <s v=" Philippines  "/>
    <s v=" X70             "/>
    <x v="2"/>
    <x v="7"/>
    <x v="7"/>
  </r>
  <r>
    <n v="143"/>
    <d v="2022-09-15T00:00:00"/>
    <n v="9"/>
    <n v="9"/>
    <n v="3"/>
    <n v="54000"/>
    <n v="5400"/>
    <s v=" Philippines  "/>
    <s v=" Xpander         "/>
    <x v="1"/>
    <x v="7"/>
    <x v="7"/>
  </r>
  <r>
    <n v="144"/>
    <d v="2022-09-16T00:00:00"/>
    <n v="1"/>
    <n v="12"/>
    <n v="1"/>
    <n v="34000"/>
    <n v="3400"/>
    <s v=" Malaysia     "/>
    <s v=" Santa Fe        "/>
    <x v="7"/>
    <x v="6"/>
    <x v="6"/>
  </r>
  <r>
    <n v="145"/>
    <d v="2022-09-17T00:00:00"/>
    <n v="1"/>
    <n v="11"/>
    <n v="2"/>
    <n v="32000"/>
    <n v="6400"/>
    <s v=" Malaysia     "/>
    <s v=" Accent          "/>
    <x v="7"/>
    <x v="6"/>
    <x v="6"/>
  </r>
  <r>
    <n v="146"/>
    <d v="2022-09-20T00:00:00"/>
    <n v="8"/>
    <n v="15"/>
    <n v="1"/>
    <n v="24000"/>
    <n v="2400"/>
    <s v=" Philippines  "/>
    <s v=" Mazda3          "/>
    <x v="5"/>
    <x v="4"/>
    <x v="4"/>
  </r>
  <r>
    <n v="147"/>
    <d v="2022-09-21T00:00:00"/>
    <n v="6"/>
    <n v="9"/>
    <n v="1"/>
    <n v="18000"/>
    <n v="1800"/>
    <s v=" Philippines  "/>
    <s v=" Xpander         "/>
    <x v="1"/>
    <x v="0"/>
    <x v="0"/>
  </r>
  <r>
    <n v="148"/>
    <d v="2022-09-22T00:00:00"/>
    <n v="2"/>
    <n v="2"/>
    <n v="3"/>
    <n v="60000"/>
    <n v="6000"/>
    <s v=" Malaysia     "/>
    <s v=" Corolla Altis   "/>
    <x v="0"/>
    <x v="5"/>
    <x v="5"/>
  </r>
  <r>
    <n v="149"/>
    <d v="2022-09-23T00:00:00"/>
    <n v="5"/>
    <n v="15"/>
    <n v="1"/>
    <n v="24000"/>
    <n v="2400"/>
    <s v=" Philippines  "/>
    <s v=" Mazda3          "/>
    <x v="5"/>
    <x v="2"/>
    <x v="2"/>
  </r>
  <r>
    <n v="150"/>
    <d v="2022-09-24T00:00:00"/>
    <n v="6"/>
    <n v="4"/>
    <n v="1"/>
    <n v="28000"/>
    <n v="2800"/>
    <s v=" Philippines  "/>
    <s v=" CR-V            "/>
    <x v="3"/>
    <x v="0"/>
    <x v="0"/>
  </r>
  <r>
    <n v="151"/>
    <d v="2022-09-27T00:00:00"/>
    <n v="1"/>
    <n v="1"/>
    <n v="2"/>
    <n v="30000"/>
    <n v="3000"/>
    <s v=" Malaysia     "/>
    <s v=" Vios            "/>
    <x v="0"/>
    <x v="6"/>
    <x v="6"/>
  </r>
  <r>
    <n v="152"/>
    <d v="2022-09-28T00:00:00"/>
    <n v="5"/>
    <n v="4"/>
    <n v="1"/>
    <n v="28000"/>
    <n v="2800"/>
    <s v=" Philippines  "/>
    <s v=" CR-V            "/>
    <x v="3"/>
    <x v="2"/>
    <x v="2"/>
  </r>
  <r>
    <n v="153"/>
    <d v="2022-09-29T00:00:00"/>
    <n v="9"/>
    <n v="6"/>
    <n v="3"/>
    <n v="90000"/>
    <n v="9000"/>
    <s v=" Philippines  "/>
    <s v=" Everest         "/>
    <x v="6"/>
    <x v="7"/>
    <x v="7"/>
  </r>
  <r>
    <n v="154"/>
    <d v="2022-09-30T00:00:00"/>
    <n v="5"/>
    <n v="7"/>
    <n v="1"/>
    <n v="14000"/>
    <n v="1400"/>
    <s v=" Philippines  "/>
    <s v=" Almera          "/>
    <x v="4"/>
    <x v="2"/>
    <x v="2"/>
  </r>
  <r>
    <n v="155"/>
    <d v="2022-10-01T00:00:00"/>
    <n v="6"/>
    <n v="15"/>
    <n v="2"/>
    <n v="48000"/>
    <n v="4800"/>
    <s v=" Philippines  "/>
    <s v=" Mazda3          "/>
    <x v="5"/>
    <x v="0"/>
    <x v="0"/>
  </r>
  <r>
    <n v="156"/>
    <d v="2022-10-04T00:00:00"/>
    <n v="5"/>
    <n v="15"/>
    <n v="1"/>
    <n v="24000"/>
    <n v="2400"/>
    <s v=" Philippines  "/>
    <s v=" Mazda3          "/>
    <x v="5"/>
    <x v="2"/>
    <x v="2"/>
  </r>
  <r>
    <n v="157"/>
    <d v="2022-10-05T00:00:00"/>
    <n v="2"/>
    <n v="11"/>
    <n v="1"/>
    <n v="16000"/>
    <n v="3200"/>
    <s v=" Malaysia     "/>
    <s v=" Accent          "/>
    <x v="7"/>
    <x v="5"/>
    <x v="5"/>
  </r>
  <r>
    <n v="158"/>
    <d v="2022-10-06T00:00:00"/>
    <n v="7"/>
    <n v="11"/>
    <n v="3"/>
    <n v="48000"/>
    <n v="9600"/>
    <s v=" Philippines  "/>
    <s v=" Accent          "/>
    <x v="7"/>
    <x v="3"/>
    <x v="3"/>
  </r>
  <r>
    <n v="159"/>
    <d v="2022-10-07T00:00:00"/>
    <n v="2"/>
    <n v="15"/>
    <n v="1"/>
    <n v="24000"/>
    <n v="2400"/>
    <s v=" Malaysia     "/>
    <s v=" Mazda3          "/>
    <x v="5"/>
    <x v="5"/>
    <x v="5"/>
  </r>
  <r>
    <n v="160"/>
    <d v="2022-10-08T00:00:00"/>
    <n v="5"/>
    <n v="10"/>
    <n v="1"/>
    <n v="32000"/>
    <n v="3200"/>
    <s v=" Philippines  "/>
    <s v=" Outlander       "/>
    <x v="1"/>
    <x v="2"/>
    <x v="2"/>
  </r>
  <r>
    <n v="161"/>
    <d v="2022-10-11T00:00:00"/>
    <n v="5"/>
    <n v="3"/>
    <n v="2"/>
    <n v="44000"/>
    <n v="8800"/>
    <s v=" Philippines  "/>
    <s v=" Civic           "/>
    <x v="3"/>
    <x v="2"/>
    <x v="2"/>
  </r>
  <r>
    <n v="162"/>
    <d v="2022-10-12T00:00:00"/>
    <n v="9"/>
    <n v="11"/>
    <n v="1"/>
    <n v="16000"/>
    <n v="3200"/>
    <s v=" Philippines  "/>
    <s v=" Accent          "/>
    <x v="7"/>
    <x v="7"/>
    <x v="7"/>
  </r>
  <r>
    <n v="163"/>
    <d v="2022-10-13T00:00:00"/>
    <n v="6"/>
    <n v="9"/>
    <n v="3"/>
    <n v="54000"/>
    <n v="5400"/>
    <s v=" Philippines  "/>
    <s v=" Xpander         "/>
    <x v="1"/>
    <x v="0"/>
    <x v="0"/>
  </r>
  <r>
    <n v="164"/>
    <d v="2022-10-14T00:00:00"/>
    <n v="7"/>
    <n v="15"/>
    <n v="1"/>
    <n v="24000"/>
    <n v="2400"/>
    <s v=" Philippines  "/>
    <s v=" Mazda3          "/>
    <x v="5"/>
    <x v="3"/>
    <x v="3"/>
  </r>
  <r>
    <n v="165"/>
    <d v="2022-10-15T00:00:00"/>
    <n v="1"/>
    <n v="9"/>
    <n v="2"/>
    <n v="36000"/>
    <n v="3600"/>
    <s v=" Malaysia     "/>
    <s v=" Xpander         "/>
    <x v="1"/>
    <x v="6"/>
    <x v="6"/>
  </r>
  <r>
    <n v="166"/>
    <d v="2022-10-18T00:00:00"/>
    <n v="7"/>
    <n v="10"/>
    <n v="1"/>
    <n v="32000"/>
    <n v="3200"/>
    <s v=" Philippines  "/>
    <s v=" Outlander       "/>
    <x v="1"/>
    <x v="3"/>
    <x v="3"/>
  </r>
  <r>
    <n v="167"/>
    <d v="2022-10-19T00:00:00"/>
    <n v="9"/>
    <n v="15"/>
    <n v="1"/>
    <n v="24000"/>
    <n v="2400"/>
    <s v=" Philippines  "/>
    <s v=" Mazda3          "/>
    <x v="5"/>
    <x v="7"/>
    <x v="7"/>
  </r>
  <r>
    <n v="168"/>
    <d v="2022-10-20T00:00:00"/>
    <n v="10"/>
    <n v="9"/>
    <n v="3"/>
    <n v="54000"/>
    <n v="5400"/>
    <s v=" Philippines  "/>
    <s v=" Xpander         "/>
    <x v="1"/>
    <x v="9"/>
    <x v="9"/>
  </r>
  <r>
    <n v="169"/>
    <d v="2022-10-21T00:00:00"/>
    <n v="9"/>
    <n v="3"/>
    <n v="1"/>
    <n v="22000"/>
    <n v="4400"/>
    <s v=" Philippines  "/>
    <s v=" Civic           "/>
    <x v="3"/>
    <x v="7"/>
    <x v="7"/>
  </r>
  <r>
    <n v="170"/>
    <d v="2022-10-22T00:00:00"/>
    <n v="3"/>
    <n v="2"/>
    <n v="1"/>
    <n v="20000"/>
    <n v="2000"/>
    <s v=" Singapore    "/>
    <s v=" Corolla Altis   "/>
    <x v="0"/>
    <x v="8"/>
    <x v="8"/>
  </r>
  <r>
    <n v="171"/>
    <d v="2022-10-25T00:00:00"/>
    <n v="4"/>
    <n v="11"/>
    <n v="2"/>
    <n v="32000"/>
    <n v="6400"/>
    <s v=" Philippines  "/>
    <s v=" Accent          "/>
    <x v="7"/>
    <x v="1"/>
    <x v="1"/>
  </r>
  <r>
    <n v="172"/>
    <d v="2022-10-26T00:00:00"/>
    <n v="10"/>
    <n v="13"/>
    <n v="1"/>
    <n v="12000"/>
    <n v="1200"/>
    <s v=" Philippines  "/>
    <s v=" Persona         "/>
    <x v="2"/>
    <x v="9"/>
    <x v="9"/>
  </r>
  <r>
    <n v="173"/>
    <d v="2022-10-27T00:00:00"/>
    <n v="8"/>
    <n v="11"/>
    <n v="3"/>
    <n v="48000"/>
    <n v="9600"/>
    <s v=" Philippines  "/>
    <s v=" Accent          "/>
    <x v="7"/>
    <x v="4"/>
    <x v="4"/>
  </r>
  <r>
    <n v="174"/>
    <d v="2022-10-28T00:00:00"/>
    <n v="8"/>
    <n v="6"/>
    <n v="1"/>
    <n v="30000"/>
    <n v="3000"/>
    <s v=" Philippines  "/>
    <s v=" Everest         "/>
    <x v="6"/>
    <x v="4"/>
    <x v="4"/>
  </r>
  <r>
    <n v="175"/>
    <d v="2022-10-29T00:00:00"/>
    <n v="9"/>
    <n v="8"/>
    <n v="2"/>
    <n v="52000"/>
    <n v="5200"/>
    <s v=" Philippines  "/>
    <s v=" X-Trail         "/>
    <x v="4"/>
    <x v="7"/>
    <x v="7"/>
  </r>
  <r>
    <n v="176"/>
    <d v="2022-11-01T00:00:00"/>
    <n v="9"/>
    <n v="5"/>
    <n v="1"/>
    <n v="25000"/>
    <n v="2500"/>
    <s v=" Philippines  "/>
    <s v=" Ranger          "/>
    <x v="6"/>
    <x v="7"/>
    <x v="7"/>
  </r>
  <r>
    <n v="177"/>
    <d v="2022-11-02T00:00:00"/>
    <n v="5"/>
    <n v="5"/>
    <n v="1"/>
    <n v="25000"/>
    <n v="2500"/>
    <s v=" Philippines  "/>
    <s v=" Ranger          "/>
    <x v="6"/>
    <x v="2"/>
    <x v="2"/>
  </r>
  <r>
    <n v="178"/>
    <d v="2022-11-03T00:00:00"/>
    <n v="10"/>
    <n v="1"/>
    <n v="3"/>
    <n v="45000"/>
    <n v="4500"/>
    <s v=" Philippines  "/>
    <s v=" Vios            "/>
    <x v="0"/>
    <x v="9"/>
    <x v="9"/>
  </r>
  <r>
    <n v="179"/>
    <d v="2022-11-04T00:00:00"/>
    <n v="10"/>
    <n v="10"/>
    <n v="1"/>
    <n v="32000"/>
    <n v="3200"/>
    <s v=" Philippines  "/>
    <s v=" Outlander       "/>
    <x v="1"/>
    <x v="9"/>
    <x v="9"/>
  </r>
  <r>
    <n v="180"/>
    <d v="2022-11-05T00:00:00"/>
    <n v="9"/>
    <n v="6"/>
    <n v="1"/>
    <n v="30000"/>
    <n v="3000"/>
    <s v=" Philippines  "/>
    <s v=" Everest         "/>
    <x v="6"/>
    <x v="7"/>
    <x v="7"/>
  </r>
  <r>
    <n v="181"/>
    <d v="2022-11-08T00:00:00"/>
    <n v="9"/>
    <n v="8"/>
    <n v="2"/>
    <n v="52000"/>
    <n v="5200"/>
    <s v=" Philippines  "/>
    <s v=" X-Trail         "/>
    <x v="4"/>
    <x v="7"/>
    <x v="7"/>
  </r>
  <r>
    <n v="182"/>
    <d v="2022-11-09T00:00:00"/>
    <n v="5"/>
    <n v="6"/>
    <n v="1"/>
    <n v="30000"/>
    <n v="3000"/>
    <s v=" Philippines  "/>
    <s v=" Everest         "/>
    <x v="6"/>
    <x v="2"/>
    <x v="2"/>
  </r>
  <r>
    <n v="183"/>
    <d v="2022-11-10T00:00:00"/>
    <n v="8"/>
    <n v="10"/>
    <n v="3"/>
    <n v="96000"/>
    <n v="9600"/>
    <s v=" Philippines  "/>
    <s v=" Outlander       "/>
    <x v="1"/>
    <x v="4"/>
    <x v="4"/>
  </r>
  <r>
    <n v="184"/>
    <d v="2022-11-11T00:00:00"/>
    <n v="8"/>
    <n v="4"/>
    <n v="1"/>
    <n v="28000"/>
    <n v="2800"/>
    <s v=" Philippines  "/>
    <s v=" CR-V            "/>
    <x v="3"/>
    <x v="4"/>
    <x v="4"/>
  </r>
  <r>
    <n v="185"/>
    <d v="2022-11-12T00:00:00"/>
    <n v="5"/>
    <n v="8"/>
    <n v="2"/>
    <n v="52000"/>
    <n v="5200"/>
    <s v=" Philippines  "/>
    <s v=" X-Trail         "/>
    <x v="4"/>
    <x v="2"/>
    <x v="2"/>
  </r>
  <r>
    <n v="186"/>
    <d v="2022-11-15T00:00:00"/>
    <n v="4"/>
    <n v="14"/>
    <n v="1"/>
    <n v="25000"/>
    <n v="5000"/>
    <s v=" Philippines  "/>
    <s v=" X70             "/>
    <x v="2"/>
    <x v="1"/>
    <x v="1"/>
  </r>
  <r>
    <n v="187"/>
    <d v="2022-11-16T00:00:00"/>
    <n v="1"/>
    <n v="2"/>
    <n v="1"/>
    <n v="20000"/>
    <n v="2000"/>
    <s v=" Malaysia     "/>
    <s v=" Corolla Altis   "/>
    <x v="0"/>
    <x v="6"/>
    <x v="6"/>
  </r>
  <r>
    <n v="188"/>
    <d v="2022-11-17T00:00:00"/>
    <n v="9"/>
    <n v="12"/>
    <n v="3"/>
    <n v="102000"/>
    <n v="10200"/>
    <s v=" Philippines  "/>
    <s v=" Santa Fe        "/>
    <x v="7"/>
    <x v="7"/>
    <x v="7"/>
  </r>
  <r>
    <n v="189"/>
    <d v="2022-11-18T00:00:00"/>
    <n v="2"/>
    <n v="7"/>
    <n v="1"/>
    <n v="14000"/>
    <n v="1400"/>
    <s v=" Malaysia     "/>
    <s v=" Almera          "/>
    <x v="4"/>
    <x v="5"/>
    <x v="5"/>
  </r>
  <r>
    <n v="190"/>
    <d v="2022-11-19T00:00:00"/>
    <n v="2"/>
    <n v="9"/>
    <n v="1"/>
    <n v="18000"/>
    <n v="1800"/>
    <s v=" Malaysia     "/>
    <s v=" Xpander         "/>
    <x v="1"/>
    <x v="5"/>
    <x v="5"/>
  </r>
  <r>
    <n v="191"/>
    <d v="2022-11-22T00:00:00"/>
    <n v="8"/>
    <n v="2"/>
    <n v="2"/>
    <n v="40000"/>
    <n v="4000"/>
    <s v=" Philippines  "/>
    <s v=" Corolla Altis   "/>
    <x v="0"/>
    <x v="4"/>
    <x v="4"/>
  </r>
  <r>
    <n v="192"/>
    <d v="2022-11-23T00:00:00"/>
    <n v="7"/>
    <n v="1"/>
    <n v="1"/>
    <n v="15000"/>
    <n v="1500"/>
    <s v=" Philippines  "/>
    <s v=" Vios            "/>
    <x v="0"/>
    <x v="3"/>
    <x v="3"/>
  </r>
  <r>
    <n v="193"/>
    <d v="2022-11-24T00:00:00"/>
    <n v="9"/>
    <n v="15"/>
    <n v="3"/>
    <n v="72000"/>
    <n v="7200"/>
    <s v=" Philippines  "/>
    <s v=" Mazda3          "/>
    <x v="5"/>
    <x v="7"/>
    <x v="7"/>
  </r>
  <r>
    <n v="194"/>
    <d v="2022-11-25T00:00:00"/>
    <n v="7"/>
    <n v="1"/>
    <n v="1"/>
    <n v="15000"/>
    <n v="1500"/>
    <s v=" Philippines  "/>
    <s v=" Vios            "/>
    <x v="0"/>
    <x v="3"/>
    <x v="3"/>
  </r>
  <r>
    <n v="195"/>
    <d v="2022-11-26T00:00:00"/>
    <n v="10"/>
    <n v="9"/>
    <n v="2"/>
    <n v="36000"/>
    <n v="3600"/>
    <s v=" Philippines  "/>
    <s v=" Xpander         "/>
    <x v="1"/>
    <x v="9"/>
    <x v="9"/>
  </r>
  <r>
    <n v="196"/>
    <d v="2022-11-29T00:00:00"/>
    <n v="1"/>
    <n v="4"/>
    <n v="1"/>
    <n v="28000"/>
    <n v="2800"/>
    <s v=" Malaysia     "/>
    <s v=" CR-V            "/>
    <x v="3"/>
    <x v="6"/>
    <x v="6"/>
  </r>
  <r>
    <n v="197"/>
    <d v="2022-11-30T00:00:00"/>
    <n v="7"/>
    <n v="9"/>
    <n v="1"/>
    <n v="18000"/>
    <n v="1800"/>
    <s v=" Philippines  "/>
    <s v=" Xpander         "/>
    <x v="1"/>
    <x v="3"/>
    <x v="3"/>
  </r>
  <r>
    <n v="198"/>
    <d v="2022-12-01T00:00:00"/>
    <n v="5"/>
    <n v="3"/>
    <n v="3"/>
    <n v="66000"/>
    <n v="13200"/>
    <s v=" Philippines  "/>
    <s v=" Civic           "/>
    <x v="3"/>
    <x v="2"/>
    <x v="2"/>
  </r>
  <r>
    <n v="199"/>
    <d v="2022-12-02T00:00:00"/>
    <n v="2"/>
    <n v="15"/>
    <n v="1"/>
    <n v="24000"/>
    <n v="2400"/>
    <s v=" Malaysia     "/>
    <s v=" Mazda3          "/>
    <x v="5"/>
    <x v="5"/>
    <x v="5"/>
  </r>
  <r>
    <n v="200"/>
    <d v="2022-12-03T00:00:00"/>
    <n v="10"/>
    <n v="7"/>
    <n v="1"/>
    <n v="14000"/>
    <n v="1400"/>
    <s v=" Philippines  "/>
    <s v=" Almera          "/>
    <x v="4"/>
    <x v="9"/>
    <x v="9"/>
  </r>
  <r>
    <n v="201"/>
    <d v="2022-12-06T00:00:00"/>
    <n v="1"/>
    <n v="14"/>
    <n v="2"/>
    <n v="50000"/>
    <n v="10000"/>
    <s v=" Malaysia     "/>
    <s v=" X70             "/>
    <x v="2"/>
    <x v="6"/>
    <x v="6"/>
  </r>
  <r>
    <n v="202"/>
    <d v="2022-12-07T00:00:00"/>
    <n v="6"/>
    <n v="15"/>
    <n v="1"/>
    <n v="24000"/>
    <n v="2400"/>
    <s v=" Philippines  "/>
    <s v=" Mazda3          "/>
    <x v="5"/>
    <x v="0"/>
    <x v="0"/>
  </r>
  <r>
    <n v="203"/>
    <d v="2022-12-08T00:00:00"/>
    <n v="5"/>
    <n v="5"/>
    <n v="3"/>
    <n v="75000"/>
    <n v="7500"/>
    <s v=" Philippines  "/>
    <s v=" Ranger          "/>
    <x v="6"/>
    <x v="2"/>
    <x v="2"/>
  </r>
  <r>
    <n v="204"/>
    <d v="2022-12-09T00:00:00"/>
    <n v="3"/>
    <n v="11"/>
    <n v="1"/>
    <n v="16000"/>
    <n v="3200"/>
    <s v=" Singapore    "/>
    <s v=" Accent          "/>
    <x v="7"/>
    <x v="8"/>
    <x v="8"/>
  </r>
  <r>
    <n v="205"/>
    <d v="2022-12-10T00:00:00"/>
    <n v="4"/>
    <n v="11"/>
    <n v="2"/>
    <n v="32000"/>
    <n v="6400"/>
    <s v=" Philippines  "/>
    <s v=" Accent          "/>
    <x v="7"/>
    <x v="1"/>
    <x v="1"/>
  </r>
  <r>
    <n v="206"/>
    <d v="2022-12-13T00:00:00"/>
    <n v="1"/>
    <n v="4"/>
    <n v="1"/>
    <n v="28000"/>
    <n v="2800"/>
    <s v=" Malaysia     "/>
    <s v=" CR-V            "/>
    <x v="3"/>
    <x v="6"/>
    <x v="6"/>
  </r>
  <r>
    <n v="207"/>
    <d v="2022-12-14T00:00:00"/>
    <n v="8"/>
    <n v="4"/>
    <n v="1"/>
    <n v="28000"/>
    <n v="2800"/>
    <s v=" Philippines  "/>
    <s v=" CR-V            "/>
    <x v="3"/>
    <x v="4"/>
    <x v="4"/>
  </r>
  <r>
    <n v="208"/>
    <d v="2022-12-15T00:00:00"/>
    <n v="1"/>
    <n v="12"/>
    <n v="3"/>
    <n v="102000"/>
    <n v="10200"/>
    <s v=" Malaysia     "/>
    <s v=" Santa Fe        "/>
    <x v="7"/>
    <x v="6"/>
    <x v="6"/>
  </r>
  <r>
    <n v="209"/>
    <d v="2022-12-16T00:00:00"/>
    <n v="6"/>
    <n v="8"/>
    <n v="1"/>
    <n v="26000"/>
    <n v="2600"/>
    <s v=" Philippines  "/>
    <s v=" X-Trail         "/>
    <x v="4"/>
    <x v="0"/>
    <x v="0"/>
  </r>
  <r>
    <n v="210"/>
    <d v="2022-12-17T00:00:00"/>
    <n v="9"/>
    <n v="4"/>
    <n v="1"/>
    <n v="28000"/>
    <n v="2800"/>
    <s v=" Philippines  "/>
    <s v=" CR-V            "/>
    <x v="3"/>
    <x v="7"/>
    <x v="7"/>
  </r>
  <r>
    <n v="211"/>
    <d v="2022-12-20T00:00:00"/>
    <n v="8"/>
    <n v="11"/>
    <n v="2"/>
    <n v="32000"/>
    <n v="6400"/>
    <s v=" Philippines  "/>
    <s v=" Accent          "/>
    <x v="7"/>
    <x v="4"/>
    <x v="4"/>
  </r>
  <r>
    <n v="212"/>
    <d v="2022-12-21T00:00:00"/>
    <n v="6"/>
    <n v="9"/>
    <n v="1"/>
    <n v="18000"/>
    <n v="1800"/>
    <s v=" Philippines  "/>
    <s v=" Xpander         "/>
    <x v="1"/>
    <x v="0"/>
    <x v="0"/>
  </r>
  <r>
    <n v="213"/>
    <d v="2022-12-22T00:00:00"/>
    <n v="5"/>
    <n v="15"/>
    <n v="3"/>
    <n v="72000"/>
    <n v="7200"/>
    <s v=" Philippines  "/>
    <s v=" Mazda3          "/>
    <x v="5"/>
    <x v="2"/>
    <x v="2"/>
  </r>
  <r>
    <n v="214"/>
    <d v="2022-12-23T00:00:00"/>
    <n v="10"/>
    <n v="1"/>
    <n v="1"/>
    <n v="15000"/>
    <n v="1500"/>
    <s v=" Philippines  "/>
    <s v=" Vios            "/>
    <x v="0"/>
    <x v="9"/>
    <x v="9"/>
  </r>
  <r>
    <n v="215"/>
    <d v="2022-12-24T00:00:00"/>
    <n v="3"/>
    <n v="2"/>
    <n v="2"/>
    <n v="40000"/>
    <n v="4000"/>
    <s v=" Singapore    "/>
    <s v=" Corolla Altis   "/>
    <x v="0"/>
    <x v="8"/>
    <x v="8"/>
  </r>
  <r>
    <n v="216"/>
    <d v="2022-12-27T00:00:00"/>
    <n v="5"/>
    <n v="11"/>
    <n v="1"/>
    <n v="16000"/>
    <n v="3200"/>
    <s v=" Philippines  "/>
    <s v=" Accent          "/>
    <x v="7"/>
    <x v="2"/>
    <x v="2"/>
  </r>
  <r>
    <n v="217"/>
    <d v="2022-12-28T00:00:00"/>
    <n v="1"/>
    <n v="9"/>
    <n v="1"/>
    <n v="18000"/>
    <n v="1800"/>
    <s v=" Malaysia     "/>
    <s v=" Xpander         "/>
    <x v="1"/>
    <x v="6"/>
    <x v="6"/>
  </r>
  <r>
    <n v="218"/>
    <d v="2022-12-29T00:00:00"/>
    <n v="2"/>
    <n v="3"/>
    <n v="3"/>
    <n v="66000"/>
    <n v="13200"/>
    <s v=" Malaysia     "/>
    <s v=" Civic           "/>
    <x v="3"/>
    <x v="5"/>
    <x v="5"/>
  </r>
  <r>
    <m/>
    <m/>
    <m/>
    <m/>
    <m/>
    <m/>
    <m/>
    <m/>
    <m/>
    <x v="8"/>
    <x v="10"/>
    <x v="10"/>
  </r>
  <r>
    <m/>
    <m/>
    <m/>
    <m/>
    <m/>
    <m/>
    <m/>
    <m/>
    <m/>
    <x v="8"/>
    <x v="10"/>
    <x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n v="1"/>
    <d v="2022-01-05T00:00:00"/>
    <n v="1"/>
    <n v="4"/>
    <n v="1"/>
    <n v="28000"/>
    <n v="2800"/>
    <s v=" Malaysia     "/>
    <x v="0"/>
    <x v="0"/>
    <s v=" Kuala Lumpur   "/>
    <s v=" ABC Motors       "/>
  </r>
  <r>
    <n v="2"/>
    <d v="2022-01-08T00:00:00"/>
    <n v="1"/>
    <n v="2"/>
    <n v="1"/>
    <n v="20000"/>
    <n v="2000"/>
    <s v=" Malaysia     "/>
    <x v="1"/>
    <x v="1"/>
    <s v=" Kuala Lumpur   "/>
    <s v=" ABC Motors       "/>
  </r>
  <r>
    <n v="3"/>
    <d v="2022-02-12T00:00:00"/>
    <n v="9"/>
    <n v="12"/>
    <n v="2"/>
    <n v="68000"/>
    <n v="6800"/>
    <s v=" Philippines  "/>
    <x v="2"/>
    <x v="2"/>
    <s v=" Iloilo City    "/>
    <s v=" Iloilo Motors    "/>
  </r>
  <r>
    <n v="4"/>
    <d v="2022-02-22T00:00:00"/>
    <n v="3"/>
    <n v="3"/>
    <n v="1"/>
    <n v="22000"/>
    <n v="4400"/>
    <s v=" Singapore    "/>
    <x v="3"/>
    <x v="0"/>
    <s v=" Singapore      "/>
    <s v=" Singapore Autos  "/>
  </r>
  <r>
    <n v="5"/>
    <d v="2022-03-01T00:00:00"/>
    <n v="7"/>
    <n v="6"/>
    <n v="3"/>
    <n v="90000"/>
    <n v="9000"/>
    <s v=" Philippines  "/>
    <x v="4"/>
    <x v="3"/>
    <s v=" Quezon City    "/>
    <s v=" Quezon Vehicles  "/>
  </r>
  <r>
    <n v="6"/>
    <d v="2022-03-08T00:00:00"/>
    <n v="3"/>
    <n v="6"/>
    <n v="1"/>
    <n v="30000"/>
    <n v="3000"/>
    <s v=" Singapore    "/>
    <x v="4"/>
    <x v="3"/>
    <s v=" Singapore      "/>
    <s v=" Singapore Autos  "/>
  </r>
  <r>
    <n v="7"/>
    <d v="2022-03-09T00:00:00"/>
    <n v="9"/>
    <n v="8"/>
    <n v="2"/>
    <n v="52000"/>
    <n v="5200"/>
    <s v=" Philippines  "/>
    <x v="5"/>
    <x v="4"/>
    <s v=" Iloilo City    "/>
    <s v=" Iloilo Motors    "/>
  </r>
  <r>
    <n v="8"/>
    <d v="2022-03-10T00:00:00"/>
    <n v="3"/>
    <n v="9"/>
    <n v="1"/>
    <n v="18000"/>
    <n v="1800"/>
    <s v=" Singapore    "/>
    <x v="6"/>
    <x v="5"/>
    <s v=" Singapore      "/>
    <s v=" Singapore Autos  "/>
  </r>
  <r>
    <n v="9"/>
    <d v="2022-03-11T00:00:00"/>
    <n v="8"/>
    <n v="6"/>
    <n v="1"/>
    <n v="30000"/>
    <n v="3000"/>
    <s v=" Philippines  "/>
    <x v="4"/>
    <x v="3"/>
    <s v=" Bacolod City   "/>
    <s v=" Bacolod Autos    "/>
  </r>
  <r>
    <n v="10"/>
    <d v="2022-03-12T00:00:00"/>
    <n v="5"/>
    <n v="2"/>
    <n v="2"/>
    <n v="40000"/>
    <n v="4000"/>
    <s v=" Philippines  "/>
    <x v="1"/>
    <x v="1"/>
    <s v=" Cebu City      "/>
    <s v=" Cebu Cars        "/>
  </r>
  <r>
    <n v="11"/>
    <d v="2022-03-15T00:00:00"/>
    <n v="5"/>
    <n v="11"/>
    <n v="1"/>
    <n v="16000"/>
    <n v="3200"/>
    <s v=" Philippines  "/>
    <x v="7"/>
    <x v="2"/>
    <s v=" Cebu City      "/>
    <s v=" Cebu Cars        "/>
  </r>
  <r>
    <n v="12"/>
    <d v="2022-03-16T00:00:00"/>
    <n v="9"/>
    <n v="3"/>
    <n v="1"/>
    <n v="22000"/>
    <n v="4400"/>
    <s v=" Philippines  "/>
    <x v="3"/>
    <x v="0"/>
    <s v=" Iloilo City    "/>
    <s v=" Iloilo Motors    "/>
  </r>
  <r>
    <n v="13"/>
    <d v="2022-03-17T00:00:00"/>
    <n v="9"/>
    <n v="12"/>
    <n v="2"/>
    <n v="68000"/>
    <n v="6800"/>
    <s v=" Philippines  "/>
    <x v="2"/>
    <x v="2"/>
    <s v=" Iloilo City    "/>
    <s v=" Iloilo Motors    "/>
  </r>
  <r>
    <n v="14"/>
    <d v="2022-03-18T00:00:00"/>
    <n v="10"/>
    <n v="3"/>
    <n v="1"/>
    <n v="22000"/>
    <n v="4400"/>
    <s v=" Philippines  "/>
    <x v="3"/>
    <x v="0"/>
    <s v=" Zamboanga City "/>
    <s v=" Zamboanga Cars   "/>
  </r>
  <r>
    <n v="15"/>
    <d v="2022-03-19T00:00:00"/>
    <n v="2"/>
    <n v="10"/>
    <n v="2"/>
    <n v="64000"/>
    <n v="6400"/>
    <s v=" Malaysia     "/>
    <x v="8"/>
    <x v="5"/>
    <s v=" George Town     "/>
    <s v=" XYZ Cars         "/>
  </r>
  <r>
    <n v="16"/>
    <d v="2022-03-22T00:00:00"/>
    <n v="6"/>
    <n v="3"/>
    <n v="1"/>
    <n v="22000"/>
    <n v="4400"/>
    <s v=" Philippines  "/>
    <x v="3"/>
    <x v="0"/>
    <s v=" Davao City     "/>
    <s v=" Davao Dealers    "/>
  </r>
  <r>
    <n v="17"/>
    <d v="2022-03-23T00:00:00"/>
    <n v="8"/>
    <n v="1"/>
    <n v="1"/>
    <n v="15000"/>
    <n v="1500"/>
    <s v=" Philippines  "/>
    <x v="9"/>
    <x v="1"/>
    <s v=" Bacolod City   "/>
    <s v=" Bacolod Autos    "/>
  </r>
  <r>
    <n v="18"/>
    <d v="2022-03-24T00:00:00"/>
    <n v="7"/>
    <n v="12"/>
    <n v="3"/>
    <n v="102000"/>
    <n v="10200"/>
    <s v=" Philippines  "/>
    <x v="2"/>
    <x v="2"/>
    <s v=" Quezon City    "/>
    <s v=" Quezon Vehicles  "/>
  </r>
  <r>
    <n v="19"/>
    <d v="2022-03-25T00:00:00"/>
    <n v="6"/>
    <n v="3"/>
    <n v="1"/>
    <n v="22000"/>
    <n v="4400"/>
    <s v=" Philippines  "/>
    <x v="3"/>
    <x v="0"/>
    <s v=" Davao City     "/>
    <s v=" Davao Dealers    "/>
  </r>
  <r>
    <n v="20"/>
    <d v="2022-03-26T00:00:00"/>
    <n v="8"/>
    <n v="8"/>
    <n v="1"/>
    <n v="26000"/>
    <n v="2600"/>
    <s v=" Philippines  "/>
    <x v="5"/>
    <x v="4"/>
    <s v=" Bacolod City   "/>
    <s v=" Bacolod Autos    "/>
  </r>
  <r>
    <n v="21"/>
    <d v="2022-03-29T00:00:00"/>
    <n v="8"/>
    <n v="2"/>
    <n v="2"/>
    <n v="40000"/>
    <n v="4000"/>
    <s v=" Philippines  "/>
    <x v="1"/>
    <x v="1"/>
    <s v=" Bacolod City   "/>
    <s v=" Bacolod Autos    "/>
  </r>
  <r>
    <n v="22"/>
    <d v="2022-03-30T00:00:00"/>
    <n v="10"/>
    <n v="3"/>
    <n v="1"/>
    <n v="22000"/>
    <n v="4400"/>
    <s v=" Philippines  "/>
    <x v="3"/>
    <x v="0"/>
    <s v=" Zamboanga City "/>
    <s v=" Zamboanga Cars   "/>
  </r>
  <r>
    <n v="23"/>
    <d v="2022-03-31T00:00:00"/>
    <n v="9"/>
    <n v="11"/>
    <n v="3"/>
    <n v="48000"/>
    <n v="9600"/>
    <s v=" Philippines  "/>
    <x v="7"/>
    <x v="2"/>
    <s v=" Iloilo City    "/>
    <s v=" Iloilo Motors    "/>
  </r>
  <r>
    <n v="24"/>
    <d v="2022-04-01T00:00:00"/>
    <n v="6"/>
    <n v="5"/>
    <n v="1"/>
    <n v="25000"/>
    <n v="2500"/>
    <s v=" Philippines  "/>
    <x v="10"/>
    <x v="3"/>
    <s v=" Davao City     "/>
    <s v=" Davao Dealers    "/>
  </r>
  <r>
    <n v="25"/>
    <d v="2022-04-02T00:00:00"/>
    <n v="3"/>
    <n v="11"/>
    <n v="2"/>
    <n v="32000"/>
    <n v="6400"/>
    <s v=" Singapore    "/>
    <x v="7"/>
    <x v="2"/>
    <s v=" Singapore      "/>
    <s v=" Singapore Autos  "/>
  </r>
  <r>
    <n v="26"/>
    <d v="2022-04-05T00:00:00"/>
    <n v="7"/>
    <n v="11"/>
    <n v="1"/>
    <n v="16000"/>
    <n v="3200"/>
    <s v=" Philippines  "/>
    <x v="7"/>
    <x v="2"/>
    <s v=" Quezon City    "/>
    <s v=" Quezon Vehicles  "/>
  </r>
  <r>
    <n v="27"/>
    <d v="2022-04-06T00:00:00"/>
    <n v="8"/>
    <n v="10"/>
    <n v="1"/>
    <n v="32000"/>
    <n v="3200"/>
    <s v=" Philippines  "/>
    <x v="8"/>
    <x v="5"/>
    <s v=" Bacolod City   "/>
    <s v=" Bacolod Autos    "/>
  </r>
  <r>
    <n v="28"/>
    <d v="2022-04-07T00:00:00"/>
    <n v="10"/>
    <n v="10"/>
    <n v="3"/>
    <n v="96000"/>
    <n v="9600"/>
    <s v=" Philippines  "/>
    <x v="8"/>
    <x v="5"/>
    <s v=" Zamboanga City "/>
    <s v=" Zamboanga Cars   "/>
  </r>
  <r>
    <n v="29"/>
    <d v="2022-04-08T00:00:00"/>
    <n v="1"/>
    <n v="15"/>
    <n v="1"/>
    <n v="24000"/>
    <n v="2400"/>
    <s v=" Malaysia     "/>
    <x v="11"/>
    <x v="6"/>
    <s v=" Kuala Lumpur   "/>
    <s v=" ABC Motors       "/>
  </r>
  <r>
    <n v="30"/>
    <d v="2022-04-09T00:00:00"/>
    <n v="3"/>
    <n v="7"/>
    <n v="1"/>
    <n v="14000"/>
    <n v="1400"/>
    <s v=" Singapore    "/>
    <x v="12"/>
    <x v="4"/>
    <s v=" Singapore      "/>
    <s v=" Singapore Autos  "/>
  </r>
  <r>
    <n v="31"/>
    <d v="2022-04-12T00:00:00"/>
    <n v="9"/>
    <n v="10"/>
    <n v="2"/>
    <n v="64000"/>
    <n v="6400"/>
    <s v=" Philippines  "/>
    <x v="8"/>
    <x v="5"/>
    <s v=" Iloilo City    "/>
    <s v=" Iloilo Motors    "/>
  </r>
  <r>
    <n v="32"/>
    <d v="2022-04-13T00:00:00"/>
    <n v="4"/>
    <n v="8"/>
    <n v="1"/>
    <n v="26000"/>
    <n v="2600"/>
    <s v=" Philippines  "/>
    <x v="5"/>
    <x v="4"/>
    <s v=" Manila         "/>
    <s v=" Manila Motors    "/>
  </r>
  <r>
    <n v="33"/>
    <d v="2022-04-14T00:00:00"/>
    <n v="9"/>
    <n v="7"/>
    <n v="3"/>
    <n v="42000"/>
    <n v="4200"/>
    <s v=" Philippines  "/>
    <x v="12"/>
    <x v="4"/>
    <s v=" Iloilo City    "/>
    <s v=" Iloilo Motors    "/>
  </r>
  <r>
    <n v="34"/>
    <d v="2022-04-15T00:00:00"/>
    <n v="8"/>
    <n v="2"/>
    <n v="1"/>
    <n v="20000"/>
    <n v="2000"/>
    <s v=" Philippines  "/>
    <x v="1"/>
    <x v="1"/>
    <s v=" Bacolod City   "/>
    <s v=" Bacolod Autos    "/>
  </r>
  <r>
    <n v="35"/>
    <d v="2022-04-16T00:00:00"/>
    <n v="5"/>
    <n v="8"/>
    <n v="2"/>
    <n v="52000"/>
    <n v="5200"/>
    <s v=" Philippines  "/>
    <x v="5"/>
    <x v="4"/>
    <s v=" Cebu City      "/>
    <s v=" Cebu Cars        "/>
  </r>
  <r>
    <n v="36"/>
    <d v="2022-04-19T00:00:00"/>
    <n v="1"/>
    <n v="3"/>
    <n v="1"/>
    <n v="22000"/>
    <n v="4400"/>
    <s v=" Malaysia     "/>
    <x v="3"/>
    <x v="0"/>
    <s v=" Kuala Lumpur   "/>
    <s v=" ABC Motors       "/>
  </r>
  <r>
    <n v="37"/>
    <d v="2022-04-20T00:00:00"/>
    <n v="7"/>
    <n v="11"/>
    <n v="1"/>
    <n v="16000"/>
    <n v="3200"/>
    <s v=" Philippines  "/>
    <x v="7"/>
    <x v="2"/>
    <s v=" Quezon City    "/>
    <s v=" Quezon Vehicles  "/>
  </r>
  <r>
    <n v="38"/>
    <d v="2022-04-21T00:00:00"/>
    <n v="2"/>
    <n v="1"/>
    <n v="3"/>
    <n v="45000"/>
    <n v="4500"/>
    <s v=" Malaysia     "/>
    <x v="9"/>
    <x v="1"/>
    <s v=" George Town     "/>
    <s v=" XYZ Cars         "/>
  </r>
  <r>
    <n v="39"/>
    <d v="2022-04-22T00:00:00"/>
    <n v="5"/>
    <n v="7"/>
    <n v="1"/>
    <n v="14000"/>
    <n v="1400"/>
    <s v=" Philippines  "/>
    <x v="12"/>
    <x v="4"/>
    <s v=" Cebu City      "/>
    <s v=" Cebu Cars        "/>
  </r>
  <r>
    <n v="40"/>
    <d v="2022-04-23T00:00:00"/>
    <n v="5"/>
    <n v="1"/>
    <n v="1"/>
    <n v="15000"/>
    <n v="1500"/>
    <s v=" Philippines  "/>
    <x v="9"/>
    <x v="1"/>
    <s v=" Cebu City      "/>
    <s v=" Cebu Cars        "/>
  </r>
  <r>
    <n v="41"/>
    <d v="2022-04-26T00:00:00"/>
    <n v="1"/>
    <n v="1"/>
    <n v="2"/>
    <n v="30000"/>
    <n v="3000"/>
    <s v=" Malaysia     "/>
    <x v="9"/>
    <x v="1"/>
    <s v=" Kuala Lumpur   "/>
    <s v=" ABC Motors       "/>
  </r>
  <r>
    <n v="42"/>
    <d v="2022-04-27T00:00:00"/>
    <n v="1"/>
    <n v="3"/>
    <n v="1"/>
    <n v="22000"/>
    <n v="4400"/>
    <s v=" Malaysia     "/>
    <x v="3"/>
    <x v="0"/>
    <s v=" Kuala Lumpur   "/>
    <s v=" ABC Motors       "/>
  </r>
  <r>
    <n v="43"/>
    <d v="2022-04-28T00:00:00"/>
    <n v="8"/>
    <n v="11"/>
    <n v="3"/>
    <n v="48000"/>
    <n v="9600"/>
    <s v=" Philippines  "/>
    <x v="7"/>
    <x v="2"/>
    <s v=" Bacolod City   "/>
    <s v=" Bacolod Autos    "/>
  </r>
  <r>
    <n v="44"/>
    <d v="2022-04-29T00:00:00"/>
    <n v="4"/>
    <n v="9"/>
    <n v="1"/>
    <n v="18000"/>
    <n v="1800"/>
    <s v=" Philippines  "/>
    <x v="6"/>
    <x v="5"/>
    <s v=" Manila         "/>
    <s v=" Manila Motors    "/>
  </r>
  <r>
    <n v="45"/>
    <d v="2022-04-30T00:00:00"/>
    <n v="7"/>
    <n v="3"/>
    <n v="2"/>
    <n v="44000"/>
    <n v="8800"/>
    <s v=" Philippines  "/>
    <x v="3"/>
    <x v="0"/>
    <s v=" Quezon City    "/>
    <s v=" Quezon Vehicles  "/>
  </r>
  <r>
    <n v="46"/>
    <d v="2022-05-03T00:00:00"/>
    <n v="6"/>
    <n v="8"/>
    <n v="1"/>
    <n v="26000"/>
    <n v="2600"/>
    <s v=" Philippines  "/>
    <x v="5"/>
    <x v="4"/>
    <s v=" Davao City     "/>
    <s v=" Davao Dealers    "/>
  </r>
  <r>
    <n v="47"/>
    <d v="2022-05-04T00:00:00"/>
    <n v="2"/>
    <n v="10"/>
    <n v="1"/>
    <n v="32000"/>
    <n v="3200"/>
    <s v=" Malaysia     "/>
    <x v="8"/>
    <x v="5"/>
    <s v=" George Town     "/>
    <s v=" XYZ Cars         "/>
  </r>
  <r>
    <n v="48"/>
    <d v="2022-05-05T00:00:00"/>
    <n v="10"/>
    <n v="3"/>
    <n v="3"/>
    <n v="66000"/>
    <n v="13200"/>
    <s v=" Philippines  "/>
    <x v="3"/>
    <x v="0"/>
    <s v=" Zamboanga City "/>
    <s v=" Zamboanga Cars   "/>
  </r>
  <r>
    <n v="49"/>
    <d v="2022-05-06T00:00:00"/>
    <n v="1"/>
    <n v="7"/>
    <n v="1"/>
    <n v="14000"/>
    <n v="1400"/>
    <s v=" Malaysia     "/>
    <x v="12"/>
    <x v="4"/>
    <s v=" Kuala Lumpur   "/>
    <s v=" ABC Motors       "/>
  </r>
  <r>
    <n v="50"/>
    <d v="2022-05-07T00:00:00"/>
    <n v="9"/>
    <n v="12"/>
    <n v="1"/>
    <n v="34000"/>
    <n v="3400"/>
    <s v=" Philippines  "/>
    <x v="2"/>
    <x v="2"/>
    <s v=" Iloilo City    "/>
    <s v=" Iloilo Motors    "/>
  </r>
  <r>
    <n v="51"/>
    <d v="2022-05-10T00:00:00"/>
    <n v="9"/>
    <n v="7"/>
    <n v="2"/>
    <n v="28000"/>
    <n v="2800"/>
    <s v=" Philippines  "/>
    <x v="12"/>
    <x v="4"/>
    <s v=" Iloilo City    "/>
    <s v=" Iloilo Motors    "/>
  </r>
  <r>
    <n v="52"/>
    <d v="2022-05-11T00:00:00"/>
    <n v="8"/>
    <n v="5"/>
    <n v="1"/>
    <n v="25000"/>
    <n v="2500"/>
    <s v=" Philippines  "/>
    <x v="10"/>
    <x v="3"/>
    <s v=" Bacolod City   "/>
    <s v=" Bacolod Autos    "/>
  </r>
  <r>
    <n v="53"/>
    <d v="2022-05-12T00:00:00"/>
    <n v="3"/>
    <n v="8"/>
    <n v="3"/>
    <n v="78000"/>
    <n v="7800"/>
    <s v=" Singapore    "/>
    <x v="5"/>
    <x v="4"/>
    <s v=" Singapore      "/>
    <s v=" Singapore Autos  "/>
  </r>
  <r>
    <n v="54"/>
    <d v="2022-05-13T00:00:00"/>
    <n v="7"/>
    <n v="3"/>
    <n v="1"/>
    <n v="22000"/>
    <n v="4400"/>
    <s v=" Philippines  "/>
    <x v="3"/>
    <x v="0"/>
    <s v=" Quezon City    "/>
    <s v=" Quezon Vehicles  "/>
  </r>
  <r>
    <n v="55"/>
    <d v="2022-05-14T00:00:00"/>
    <n v="2"/>
    <n v="8"/>
    <n v="2"/>
    <n v="52000"/>
    <n v="5200"/>
    <s v=" Malaysia     "/>
    <x v="5"/>
    <x v="4"/>
    <s v=" George Town     "/>
    <s v=" XYZ Cars         "/>
  </r>
  <r>
    <n v="56"/>
    <d v="2022-05-17T00:00:00"/>
    <n v="3"/>
    <n v="6"/>
    <n v="1"/>
    <n v="30000"/>
    <n v="3000"/>
    <s v=" Singapore    "/>
    <x v="4"/>
    <x v="3"/>
    <s v=" Singapore      "/>
    <s v=" Singapore Autos  "/>
  </r>
  <r>
    <n v="57"/>
    <d v="2022-05-18T00:00:00"/>
    <n v="1"/>
    <n v="13"/>
    <n v="1"/>
    <n v="12000"/>
    <n v="1200"/>
    <s v=" Malaysia     "/>
    <x v="13"/>
    <x v="7"/>
    <s v=" Kuala Lumpur   "/>
    <s v=" ABC Motors       "/>
  </r>
  <r>
    <n v="58"/>
    <d v="2022-05-19T00:00:00"/>
    <n v="4"/>
    <n v="6"/>
    <n v="3"/>
    <n v="90000"/>
    <n v="9000"/>
    <s v=" Philippines  "/>
    <x v="4"/>
    <x v="3"/>
    <s v=" Manila         "/>
    <s v=" Manila Motors    "/>
  </r>
  <r>
    <n v="59"/>
    <d v="2022-05-20T00:00:00"/>
    <n v="1"/>
    <n v="9"/>
    <n v="1"/>
    <n v="18000"/>
    <n v="1800"/>
    <s v=" Malaysia     "/>
    <x v="6"/>
    <x v="5"/>
    <s v=" Kuala Lumpur   "/>
    <s v=" ABC Motors       "/>
  </r>
  <r>
    <n v="60"/>
    <d v="2022-05-21T00:00:00"/>
    <n v="10"/>
    <n v="7"/>
    <n v="1"/>
    <n v="14000"/>
    <n v="1400"/>
    <s v=" Philippines  "/>
    <x v="12"/>
    <x v="4"/>
    <s v=" Zamboanga City "/>
    <s v=" Zamboanga Cars   "/>
  </r>
  <r>
    <n v="61"/>
    <d v="2022-05-24T00:00:00"/>
    <n v="3"/>
    <n v="14"/>
    <n v="2"/>
    <n v="50000"/>
    <n v="10000"/>
    <s v=" Singapore    "/>
    <x v="14"/>
    <x v="7"/>
    <s v=" Singapore      "/>
    <s v=" Singapore Autos  "/>
  </r>
  <r>
    <n v="62"/>
    <d v="2022-05-25T00:00:00"/>
    <n v="7"/>
    <n v="11"/>
    <n v="1"/>
    <n v="16000"/>
    <n v="3200"/>
    <s v=" Philippines  "/>
    <x v="7"/>
    <x v="2"/>
    <s v=" Quezon City    "/>
    <s v=" Quezon Vehicles  "/>
  </r>
  <r>
    <n v="63"/>
    <d v="2022-05-26T00:00:00"/>
    <n v="3"/>
    <n v="15"/>
    <n v="3"/>
    <n v="72000"/>
    <n v="7200"/>
    <s v=" Singapore    "/>
    <x v="11"/>
    <x v="6"/>
    <s v=" Singapore      "/>
    <s v=" Singapore Autos  "/>
  </r>
  <r>
    <n v="64"/>
    <d v="2022-05-27T00:00:00"/>
    <n v="1"/>
    <n v="14"/>
    <n v="1"/>
    <n v="25000"/>
    <n v="5000"/>
    <s v=" Malaysia     "/>
    <x v="14"/>
    <x v="7"/>
    <s v=" Kuala Lumpur   "/>
    <s v=" ABC Motors       "/>
  </r>
  <r>
    <n v="65"/>
    <d v="2022-05-28T00:00:00"/>
    <n v="5"/>
    <n v="12"/>
    <n v="2"/>
    <n v="68000"/>
    <n v="6800"/>
    <s v=" Philippines  "/>
    <x v="2"/>
    <x v="2"/>
    <s v=" Cebu City      "/>
    <s v=" Cebu Cars        "/>
  </r>
  <r>
    <n v="66"/>
    <d v="2022-05-31T00:00:00"/>
    <n v="2"/>
    <n v="12"/>
    <n v="1"/>
    <n v="34000"/>
    <n v="3400"/>
    <s v=" Malaysia     "/>
    <x v="2"/>
    <x v="2"/>
    <s v=" George Town     "/>
    <s v=" XYZ Cars         "/>
  </r>
  <r>
    <n v="67"/>
    <d v="2022-06-01T00:00:00"/>
    <n v="2"/>
    <n v="15"/>
    <n v="1"/>
    <n v="24000"/>
    <n v="2400"/>
    <s v=" Malaysia     "/>
    <x v="11"/>
    <x v="6"/>
    <s v=" George Town     "/>
    <s v=" XYZ Cars         "/>
  </r>
  <r>
    <n v="68"/>
    <d v="2022-06-02T00:00:00"/>
    <n v="6"/>
    <n v="15"/>
    <n v="3"/>
    <n v="72000"/>
    <n v="7200"/>
    <s v=" Philippines  "/>
    <x v="11"/>
    <x v="6"/>
    <s v=" Davao City     "/>
    <s v=" Davao Dealers    "/>
  </r>
  <r>
    <n v="69"/>
    <d v="2022-06-03T00:00:00"/>
    <n v="9"/>
    <n v="6"/>
    <n v="1"/>
    <n v="30000"/>
    <n v="3000"/>
    <s v=" Philippines  "/>
    <x v="4"/>
    <x v="3"/>
    <s v=" Iloilo City    "/>
    <s v=" Iloilo Motors    "/>
  </r>
  <r>
    <n v="70"/>
    <d v="2022-06-04T00:00:00"/>
    <n v="3"/>
    <n v="9"/>
    <n v="1"/>
    <n v="18000"/>
    <n v="1800"/>
    <s v=" Singapore    "/>
    <x v="6"/>
    <x v="5"/>
    <s v=" Singapore      "/>
    <s v=" Singapore Autos  "/>
  </r>
  <r>
    <n v="71"/>
    <d v="2022-06-07T00:00:00"/>
    <n v="8"/>
    <n v="2"/>
    <n v="2"/>
    <n v="40000"/>
    <n v="4000"/>
    <s v=" Philippines  "/>
    <x v="1"/>
    <x v="1"/>
    <s v=" Bacolod City   "/>
    <s v=" Bacolod Autos    "/>
  </r>
  <r>
    <n v="72"/>
    <d v="2022-06-08T00:00:00"/>
    <n v="3"/>
    <n v="3"/>
    <n v="1"/>
    <n v="22000"/>
    <n v="4400"/>
    <s v=" Singapore    "/>
    <x v="3"/>
    <x v="0"/>
    <s v=" Singapore      "/>
    <s v=" Singapore Autos  "/>
  </r>
  <r>
    <n v="73"/>
    <d v="2022-06-09T00:00:00"/>
    <n v="4"/>
    <n v="9"/>
    <n v="3"/>
    <n v="54000"/>
    <n v="5400"/>
    <s v=" Philippines  "/>
    <x v="6"/>
    <x v="5"/>
    <s v=" Manila         "/>
    <s v=" Manila Motors    "/>
  </r>
  <r>
    <n v="74"/>
    <d v="2022-06-10T00:00:00"/>
    <n v="1"/>
    <n v="8"/>
    <n v="1"/>
    <n v="26000"/>
    <n v="2600"/>
    <s v=" Malaysia     "/>
    <x v="5"/>
    <x v="4"/>
    <s v=" Kuala Lumpur   "/>
    <s v=" ABC Motors       "/>
  </r>
  <r>
    <n v="75"/>
    <d v="2022-06-11T00:00:00"/>
    <n v="2"/>
    <n v="14"/>
    <n v="2"/>
    <n v="50000"/>
    <n v="10000"/>
    <s v=" Malaysia     "/>
    <x v="14"/>
    <x v="7"/>
    <s v=" George Town     "/>
    <s v=" XYZ Cars         "/>
  </r>
  <r>
    <n v="76"/>
    <d v="2022-06-14T00:00:00"/>
    <n v="4"/>
    <n v="6"/>
    <n v="1"/>
    <n v="30000"/>
    <n v="3000"/>
    <s v=" Philippines  "/>
    <x v="4"/>
    <x v="3"/>
    <s v=" Manila         "/>
    <s v=" Manila Motors    "/>
  </r>
  <r>
    <n v="77"/>
    <d v="2022-06-15T00:00:00"/>
    <n v="5"/>
    <n v="6"/>
    <n v="1"/>
    <n v="30000"/>
    <n v="3000"/>
    <s v=" Philippines  "/>
    <x v="4"/>
    <x v="3"/>
    <s v=" Cebu City      "/>
    <s v=" Cebu Cars        "/>
  </r>
  <r>
    <n v="78"/>
    <d v="2022-06-16T00:00:00"/>
    <n v="4"/>
    <n v="4"/>
    <n v="3"/>
    <n v="84000"/>
    <n v="8400"/>
    <s v=" Philippines  "/>
    <x v="0"/>
    <x v="0"/>
    <s v=" Manila         "/>
    <s v=" Manila Motors    "/>
  </r>
  <r>
    <n v="79"/>
    <d v="2022-06-17T00:00:00"/>
    <n v="8"/>
    <n v="10"/>
    <n v="1"/>
    <n v="32000"/>
    <n v="3200"/>
    <s v=" Philippines  "/>
    <x v="8"/>
    <x v="5"/>
    <s v=" Bacolod City   "/>
    <s v=" Bacolod Autos    "/>
  </r>
  <r>
    <n v="80"/>
    <d v="2022-06-18T00:00:00"/>
    <n v="8"/>
    <n v="12"/>
    <n v="1"/>
    <n v="34000"/>
    <n v="3400"/>
    <s v=" Philippines  "/>
    <x v="2"/>
    <x v="2"/>
    <s v=" Bacolod City   "/>
    <s v=" Bacolod Autos    "/>
  </r>
  <r>
    <n v="81"/>
    <d v="2022-06-21T00:00:00"/>
    <n v="5"/>
    <n v="12"/>
    <n v="2"/>
    <n v="68000"/>
    <n v="6800"/>
    <s v=" Philippines  "/>
    <x v="2"/>
    <x v="2"/>
    <s v=" Cebu City      "/>
    <s v=" Cebu Cars        "/>
  </r>
  <r>
    <n v="82"/>
    <d v="2022-06-22T00:00:00"/>
    <n v="10"/>
    <n v="9"/>
    <n v="1"/>
    <n v="18000"/>
    <n v="1800"/>
    <s v=" Philippines  "/>
    <x v="6"/>
    <x v="5"/>
    <s v=" Zamboanga City "/>
    <s v=" Zamboanga Cars   "/>
  </r>
  <r>
    <n v="83"/>
    <d v="2022-06-23T00:00:00"/>
    <n v="6"/>
    <n v="2"/>
    <n v="3"/>
    <n v="60000"/>
    <n v="6000"/>
    <s v=" Philippines  "/>
    <x v="1"/>
    <x v="1"/>
    <s v=" Davao City     "/>
    <s v=" Davao Dealers    "/>
  </r>
  <r>
    <n v="84"/>
    <d v="2022-06-24T00:00:00"/>
    <n v="6"/>
    <n v="13"/>
    <n v="1"/>
    <n v="12000"/>
    <n v="1200"/>
    <s v=" Philippines  "/>
    <x v="13"/>
    <x v="7"/>
    <s v=" Davao City     "/>
    <s v=" Davao Dealers    "/>
  </r>
  <r>
    <n v="85"/>
    <d v="2022-06-25T00:00:00"/>
    <n v="1"/>
    <n v="4"/>
    <n v="2"/>
    <n v="56000"/>
    <n v="5600"/>
    <s v=" Malaysia     "/>
    <x v="0"/>
    <x v="0"/>
    <s v=" Kuala Lumpur   "/>
    <s v=" ABC Motors       "/>
  </r>
  <r>
    <n v="86"/>
    <d v="2022-06-28T00:00:00"/>
    <n v="4"/>
    <n v="6"/>
    <n v="1"/>
    <n v="30000"/>
    <n v="3000"/>
    <s v=" Philippines  "/>
    <x v="4"/>
    <x v="3"/>
    <s v=" Manila         "/>
    <s v=" Manila Motors    "/>
  </r>
  <r>
    <n v="87"/>
    <d v="2022-06-29T00:00:00"/>
    <n v="1"/>
    <n v="6"/>
    <n v="1"/>
    <n v="30000"/>
    <n v="3000"/>
    <s v=" Malaysia     "/>
    <x v="4"/>
    <x v="3"/>
    <s v=" Kuala Lumpur   "/>
    <s v=" ABC Motors       "/>
  </r>
  <r>
    <n v="88"/>
    <d v="2022-06-30T00:00:00"/>
    <n v="9"/>
    <n v="1"/>
    <n v="3"/>
    <n v="45000"/>
    <n v="4500"/>
    <s v=" Philippines  "/>
    <x v="9"/>
    <x v="1"/>
    <s v=" Iloilo City    "/>
    <s v=" Iloilo Motors    "/>
  </r>
  <r>
    <n v="89"/>
    <d v="2022-07-01T00:00:00"/>
    <n v="1"/>
    <n v="3"/>
    <n v="1"/>
    <n v="22000"/>
    <n v="4400"/>
    <s v=" Malaysia     "/>
    <x v="3"/>
    <x v="0"/>
    <s v=" Kuala Lumpur   "/>
    <s v=" ABC Motors       "/>
  </r>
  <r>
    <n v="90"/>
    <d v="2022-07-02T00:00:00"/>
    <n v="6"/>
    <n v="1"/>
    <n v="1"/>
    <n v="15000"/>
    <n v="1500"/>
    <s v=" Philippines  "/>
    <x v="9"/>
    <x v="1"/>
    <s v=" Davao City     "/>
    <s v=" Davao Dealers    "/>
  </r>
  <r>
    <n v="91"/>
    <d v="2022-07-05T00:00:00"/>
    <n v="9"/>
    <n v="2"/>
    <n v="2"/>
    <n v="40000"/>
    <n v="4000"/>
    <s v=" Philippines  "/>
    <x v="1"/>
    <x v="1"/>
    <s v=" Iloilo City    "/>
    <s v=" Iloilo Motors    "/>
  </r>
  <r>
    <n v="92"/>
    <d v="2022-07-06T00:00:00"/>
    <n v="4"/>
    <n v="10"/>
    <n v="1"/>
    <n v="32000"/>
    <n v="3200"/>
    <s v=" Philippines  "/>
    <x v="8"/>
    <x v="5"/>
    <s v=" Manila         "/>
    <s v=" Manila Motors    "/>
  </r>
  <r>
    <n v="93"/>
    <d v="2022-07-07T00:00:00"/>
    <n v="8"/>
    <n v="8"/>
    <n v="3"/>
    <n v="78000"/>
    <n v="7800"/>
    <s v=" Philippines  "/>
    <x v="5"/>
    <x v="4"/>
    <s v=" Bacolod City   "/>
    <s v=" Bacolod Autos    "/>
  </r>
  <r>
    <n v="94"/>
    <d v="2022-07-08T00:00:00"/>
    <n v="10"/>
    <n v="5"/>
    <n v="1"/>
    <n v="25000"/>
    <n v="2500"/>
    <s v=" Philippines  "/>
    <x v="10"/>
    <x v="3"/>
    <s v=" Zamboanga City "/>
    <s v=" Zamboanga Cars   "/>
  </r>
  <r>
    <n v="95"/>
    <d v="2022-07-09T00:00:00"/>
    <n v="10"/>
    <n v="9"/>
    <n v="2"/>
    <n v="36000"/>
    <n v="3600"/>
    <s v=" Philippines  "/>
    <x v="6"/>
    <x v="5"/>
    <s v=" Zamboanga City "/>
    <s v=" Zamboanga Cars   "/>
  </r>
  <r>
    <n v="96"/>
    <d v="2022-07-12T00:00:00"/>
    <n v="7"/>
    <n v="10"/>
    <n v="1"/>
    <n v="32000"/>
    <n v="3200"/>
    <s v=" Philippines  "/>
    <x v="8"/>
    <x v="5"/>
    <s v=" Quezon City    "/>
    <s v=" Quezon Vehicles  "/>
  </r>
  <r>
    <n v="97"/>
    <d v="2022-07-13T00:00:00"/>
    <n v="6"/>
    <n v="10"/>
    <n v="1"/>
    <n v="32000"/>
    <n v="3200"/>
    <s v=" Philippines  "/>
    <x v="8"/>
    <x v="5"/>
    <s v=" Davao City     "/>
    <s v=" Davao Dealers    "/>
  </r>
  <r>
    <n v="98"/>
    <d v="2022-07-14T00:00:00"/>
    <n v="8"/>
    <n v="1"/>
    <n v="3"/>
    <n v="45000"/>
    <n v="4500"/>
    <s v=" Philippines  "/>
    <x v="9"/>
    <x v="1"/>
    <s v=" Bacolod City   "/>
    <s v=" Bacolod Autos    "/>
  </r>
  <r>
    <n v="99"/>
    <d v="2022-07-15T00:00:00"/>
    <n v="9"/>
    <n v="13"/>
    <n v="1"/>
    <n v="12000"/>
    <n v="1200"/>
    <s v=" Philippines  "/>
    <x v="13"/>
    <x v="7"/>
    <s v=" Iloilo City    "/>
    <s v=" Iloilo Motors    "/>
  </r>
  <r>
    <n v="100"/>
    <d v="2022-07-16T00:00:00"/>
    <n v="1"/>
    <n v="2"/>
    <n v="1"/>
    <n v="20000"/>
    <n v="2000"/>
    <s v=" Malaysia     "/>
    <x v="1"/>
    <x v="1"/>
    <s v=" Kuala Lumpur   "/>
    <s v=" ABC Motors       "/>
  </r>
  <r>
    <n v="101"/>
    <d v="2022-07-19T00:00:00"/>
    <n v="10"/>
    <n v="1"/>
    <n v="2"/>
    <n v="30000"/>
    <n v="3000"/>
    <s v=" Philippines  "/>
    <x v="9"/>
    <x v="1"/>
    <s v=" Zamboanga City "/>
    <s v=" Zamboanga Cars   "/>
  </r>
  <r>
    <n v="102"/>
    <d v="2022-07-20T00:00:00"/>
    <n v="1"/>
    <n v="4"/>
    <n v="1"/>
    <n v="28000"/>
    <n v="2800"/>
    <s v=" Malaysia     "/>
    <x v="0"/>
    <x v="0"/>
    <s v=" Kuala Lumpur   "/>
    <s v=" ABC Motors       "/>
  </r>
  <r>
    <n v="103"/>
    <d v="2022-07-21T00:00:00"/>
    <n v="1"/>
    <n v="11"/>
    <n v="3"/>
    <n v="48000"/>
    <n v="9600"/>
    <s v=" Malaysia     "/>
    <x v="7"/>
    <x v="2"/>
    <s v=" Kuala Lumpur   "/>
    <s v=" ABC Motors       "/>
  </r>
  <r>
    <n v="104"/>
    <d v="2022-07-22T00:00:00"/>
    <n v="5"/>
    <n v="13"/>
    <n v="1"/>
    <n v="12000"/>
    <n v="1200"/>
    <s v=" Philippines  "/>
    <x v="13"/>
    <x v="7"/>
    <s v=" Cebu City      "/>
    <s v=" Cebu Cars        "/>
  </r>
  <r>
    <n v="105"/>
    <d v="2022-07-23T00:00:00"/>
    <n v="7"/>
    <n v="8"/>
    <n v="2"/>
    <n v="52000"/>
    <n v="5200"/>
    <s v=" Philippines  "/>
    <x v="5"/>
    <x v="4"/>
    <s v=" Quezon City    "/>
    <s v=" Quezon Vehicles  "/>
  </r>
  <r>
    <n v="106"/>
    <d v="2022-07-26T00:00:00"/>
    <n v="5"/>
    <n v="12"/>
    <n v="1"/>
    <n v="34000"/>
    <n v="3400"/>
    <s v=" Philippines  "/>
    <x v="2"/>
    <x v="2"/>
    <s v=" Cebu City      "/>
    <s v=" Cebu Cars        "/>
  </r>
  <r>
    <n v="107"/>
    <d v="2022-07-27T00:00:00"/>
    <n v="5"/>
    <n v="4"/>
    <n v="1"/>
    <n v="28000"/>
    <n v="2800"/>
    <s v=" Philippines  "/>
    <x v="0"/>
    <x v="0"/>
    <s v=" Cebu City      "/>
    <s v=" Cebu Cars        "/>
  </r>
  <r>
    <n v="108"/>
    <d v="2022-07-28T00:00:00"/>
    <n v="10"/>
    <n v="7"/>
    <n v="3"/>
    <n v="42000"/>
    <n v="4200"/>
    <s v=" Philippines  "/>
    <x v="12"/>
    <x v="4"/>
    <s v=" Zamboanga City "/>
    <s v=" Zamboanga Cars   "/>
  </r>
  <r>
    <n v="109"/>
    <d v="2022-07-29T00:00:00"/>
    <n v="10"/>
    <n v="14"/>
    <n v="1"/>
    <n v="25000"/>
    <n v="5000"/>
    <s v=" Philippines  "/>
    <x v="14"/>
    <x v="7"/>
    <s v=" Zamboanga City "/>
    <s v=" Zamboanga Cars   "/>
  </r>
  <r>
    <n v="110"/>
    <d v="2022-07-30T00:00:00"/>
    <n v="8"/>
    <n v="14"/>
    <n v="1"/>
    <n v="25000"/>
    <n v="5000"/>
    <s v=" Philippines  "/>
    <x v="14"/>
    <x v="7"/>
    <s v=" Bacolod City   "/>
    <s v=" Bacolod Autos    "/>
  </r>
  <r>
    <n v="111"/>
    <d v="2022-08-02T00:00:00"/>
    <n v="6"/>
    <n v="12"/>
    <n v="2"/>
    <n v="68000"/>
    <n v="6800"/>
    <s v=" Philippines  "/>
    <x v="2"/>
    <x v="2"/>
    <s v=" Davao City     "/>
    <s v=" Davao Dealers    "/>
  </r>
  <r>
    <n v="112"/>
    <d v="2022-08-03T00:00:00"/>
    <n v="4"/>
    <n v="5"/>
    <n v="1"/>
    <n v="25000"/>
    <n v="2500"/>
    <s v=" Philippines  "/>
    <x v="10"/>
    <x v="3"/>
    <s v=" Manila         "/>
    <s v=" Manila Motors    "/>
  </r>
  <r>
    <n v="113"/>
    <d v="2022-08-04T00:00:00"/>
    <n v="6"/>
    <n v="12"/>
    <n v="3"/>
    <n v="102000"/>
    <n v="10200"/>
    <s v=" Philippines  "/>
    <x v="2"/>
    <x v="2"/>
    <s v=" Davao City     "/>
    <s v=" Davao Dealers    "/>
  </r>
  <r>
    <n v="114"/>
    <d v="2022-08-05T00:00:00"/>
    <n v="8"/>
    <n v="9"/>
    <n v="1"/>
    <n v="18000"/>
    <n v="1800"/>
    <s v=" Philippines  "/>
    <x v="6"/>
    <x v="5"/>
    <s v=" Bacolod City   "/>
    <s v=" Bacolod Autos    "/>
  </r>
  <r>
    <n v="115"/>
    <d v="2022-08-06T00:00:00"/>
    <n v="6"/>
    <n v="9"/>
    <n v="2"/>
    <n v="36000"/>
    <n v="3600"/>
    <s v=" Philippines  "/>
    <x v="6"/>
    <x v="5"/>
    <s v=" Davao City     "/>
    <s v=" Davao Dealers    "/>
  </r>
  <r>
    <n v="116"/>
    <d v="2022-08-09T00:00:00"/>
    <n v="6"/>
    <n v="9"/>
    <n v="1"/>
    <n v="18000"/>
    <n v="1800"/>
    <s v=" Philippines  "/>
    <x v="6"/>
    <x v="5"/>
    <s v=" Davao City     "/>
    <s v=" Davao Dealers    "/>
  </r>
  <r>
    <n v="117"/>
    <d v="2022-08-10T00:00:00"/>
    <n v="9"/>
    <n v="13"/>
    <n v="1"/>
    <n v="12000"/>
    <n v="1200"/>
    <s v=" Philippines  "/>
    <x v="13"/>
    <x v="7"/>
    <s v=" Iloilo City    "/>
    <s v=" Iloilo Motors    "/>
  </r>
  <r>
    <n v="118"/>
    <d v="2022-08-11T00:00:00"/>
    <n v="7"/>
    <n v="12"/>
    <n v="3"/>
    <n v="102000"/>
    <n v="10200"/>
    <s v=" Philippines  "/>
    <x v="2"/>
    <x v="2"/>
    <s v=" Quezon City    "/>
    <s v=" Quezon Vehicles  "/>
  </r>
  <r>
    <n v="119"/>
    <d v="2022-08-12T00:00:00"/>
    <n v="2"/>
    <n v="6"/>
    <n v="1"/>
    <n v="30000"/>
    <n v="3000"/>
    <s v=" Malaysia     "/>
    <x v="4"/>
    <x v="3"/>
    <s v=" George Town     "/>
    <s v=" XYZ Cars         "/>
  </r>
  <r>
    <n v="120"/>
    <d v="2022-08-13T00:00:00"/>
    <n v="2"/>
    <n v="5"/>
    <n v="1"/>
    <n v="25000"/>
    <n v="2500"/>
    <s v=" Malaysia     "/>
    <x v="10"/>
    <x v="3"/>
    <s v=" George Town     "/>
    <s v=" XYZ Cars         "/>
  </r>
  <r>
    <n v="121"/>
    <d v="2022-08-16T00:00:00"/>
    <n v="3"/>
    <n v="12"/>
    <n v="2"/>
    <n v="68000"/>
    <n v="6800"/>
    <s v=" Singapore    "/>
    <x v="2"/>
    <x v="2"/>
    <s v=" Singapore      "/>
    <s v=" Singapore Autos  "/>
  </r>
  <r>
    <n v="122"/>
    <d v="2022-08-17T00:00:00"/>
    <n v="4"/>
    <n v="3"/>
    <n v="1"/>
    <n v="22000"/>
    <n v="4400"/>
    <s v=" Philippines  "/>
    <x v="3"/>
    <x v="0"/>
    <s v=" Manila         "/>
    <s v=" Manila Motors    "/>
  </r>
  <r>
    <n v="123"/>
    <d v="2022-08-18T00:00:00"/>
    <n v="1"/>
    <n v="15"/>
    <n v="3"/>
    <n v="72000"/>
    <n v="7200"/>
    <s v=" Malaysia     "/>
    <x v="11"/>
    <x v="6"/>
    <s v=" Kuala Lumpur   "/>
    <s v=" ABC Motors       "/>
  </r>
  <r>
    <n v="124"/>
    <d v="2022-08-19T00:00:00"/>
    <n v="3"/>
    <n v="10"/>
    <n v="1"/>
    <n v="32000"/>
    <n v="3200"/>
    <s v=" Singapore    "/>
    <x v="8"/>
    <x v="5"/>
    <s v=" Singapore      "/>
    <s v=" Singapore Autos  "/>
  </r>
  <r>
    <n v="125"/>
    <d v="2022-08-20T00:00:00"/>
    <n v="2"/>
    <n v="7"/>
    <n v="2"/>
    <n v="28000"/>
    <n v="2800"/>
    <s v=" Malaysia     "/>
    <x v="12"/>
    <x v="4"/>
    <s v=" George Town     "/>
    <s v=" XYZ Cars         "/>
  </r>
  <r>
    <n v="126"/>
    <d v="2022-08-23T00:00:00"/>
    <n v="2"/>
    <n v="8"/>
    <n v="1"/>
    <n v="26000"/>
    <n v="2600"/>
    <s v=" Malaysia     "/>
    <x v="5"/>
    <x v="4"/>
    <s v=" George Town     "/>
    <s v=" XYZ Cars         "/>
  </r>
  <r>
    <n v="127"/>
    <d v="2022-08-24T00:00:00"/>
    <n v="8"/>
    <n v="2"/>
    <n v="1"/>
    <n v="20000"/>
    <n v="2000"/>
    <s v=" Philippines  "/>
    <x v="1"/>
    <x v="1"/>
    <s v=" Bacolod City   "/>
    <s v=" Bacolod Autos    "/>
  </r>
  <r>
    <n v="128"/>
    <d v="2022-08-25T00:00:00"/>
    <n v="3"/>
    <n v="3"/>
    <n v="3"/>
    <n v="66000"/>
    <n v="13200"/>
    <s v=" Singapore    "/>
    <x v="3"/>
    <x v="0"/>
    <s v=" Singapore      "/>
    <s v=" Singapore Autos  "/>
  </r>
  <r>
    <n v="129"/>
    <d v="2022-08-26T00:00:00"/>
    <n v="9"/>
    <n v="15"/>
    <n v="1"/>
    <n v="24000"/>
    <n v="2400"/>
    <s v=" Philippines  "/>
    <x v="11"/>
    <x v="6"/>
    <s v=" Iloilo City    "/>
    <s v=" Iloilo Motors    "/>
  </r>
  <r>
    <n v="130"/>
    <d v="2022-08-27T00:00:00"/>
    <n v="10"/>
    <n v="12"/>
    <n v="1"/>
    <n v="34000"/>
    <n v="3400"/>
    <s v=" Philippines  "/>
    <x v="2"/>
    <x v="2"/>
    <s v=" Zamboanga City "/>
    <s v=" Zamboanga Cars   "/>
  </r>
  <r>
    <n v="131"/>
    <d v="2022-08-30T00:00:00"/>
    <n v="5"/>
    <n v="3"/>
    <n v="2"/>
    <n v="44000"/>
    <n v="8800"/>
    <s v=" Philippines  "/>
    <x v="3"/>
    <x v="0"/>
    <s v=" Cebu City      "/>
    <s v=" Cebu Cars        "/>
  </r>
  <r>
    <n v="132"/>
    <d v="2022-08-31T00:00:00"/>
    <n v="1"/>
    <n v="9"/>
    <n v="1"/>
    <n v="18000"/>
    <n v="1800"/>
    <s v=" Malaysia     "/>
    <x v="6"/>
    <x v="5"/>
    <s v=" Kuala Lumpur   "/>
    <s v=" ABC Motors       "/>
  </r>
  <r>
    <n v="133"/>
    <d v="2022-09-01T00:00:00"/>
    <n v="1"/>
    <n v="10"/>
    <n v="3"/>
    <n v="96000"/>
    <n v="9600"/>
    <s v=" Malaysia     "/>
    <x v="8"/>
    <x v="5"/>
    <s v=" Kuala Lumpur   "/>
    <s v=" ABC Motors       "/>
  </r>
  <r>
    <n v="134"/>
    <d v="2022-09-02T00:00:00"/>
    <n v="3"/>
    <n v="8"/>
    <n v="1"/>
    <n v="26000"/>
    <n v="2600"/>
    <s v=" Singapore    "/>
    <x v="5"/>
    <x v="4"/>
    <s v=" Singapore      "/>
    <s v=" Singapore Autos  "/>
  </r>
  <r>
    <n v="135"/>
    <d v="2022-09-03T00:00:00"/>
    <n v="8"/>
    <n v="10"/>
    <n v="2"/>
    <n v="64000"/>
    <n v="6400"/>
    <s v=" Philippines  "/>
    <x v="8"/>
    <x v="5"/>
    <s v=" Bacolod City   "/>
    <s v=" Bacolod Autos    "/>
  </r>
  <r>
    <n v="136"/>
    <d v="2022-09-06T00:00:00"/>
    <n v="5"/>
    <n v="1"/>
    <n v="1"/>
    <n v="15000"/>
    <n v="1500"/>
    <s v=" Philippines  "/>
    <x v="9"/>
    <x v="1"/>
    <s v=" Cebu City      "/>
    <s v=" Cebu Cars        "/>
  </r>
  <r>
    <n v="137"/>
    <d v="2022-09-07T00:00:00"/>
    <n v="9"/>
    <n v="15"/>
    <n v="1"/>
    <n v="24000"/>
    <n v="2400"/>
    <s v=" Philippines  "/>
    <x v="11"/>
    <x v="6"/>
    <s v=" Iloilo City    "/>
    <s v=" Iloilo Motors    "/>
  </r>
  <r>
    <n v="138"/>
    <d v="2022-09-08T00:00:00"/>
    <n v="7"/>
    <n v="12"/>
    <n v="3"/>
    <n v="102000"/>
    <n v="10200"/>
    <s v=" Philippines  "/>
    <x v="2"/>
    <x v="2"/>
    <s v=" Quezon City    "/>
    <s v=" Quezon Vehicles  "/>
  </r>
  <r>
    <n v="139"/>
    <d v="2022-09-09T00:00:00"/>
    <n v="5"/>
    <n v="14"/>
    <n v="1"/>
    <n v="25000"/>
    <n v="5000"/>
    <s v=" Philippines  "/>
    <x v="14"/>
    <x v="7"/>
    <s v=" Cebu City      "/>
    <s v=" Cebu Cars        "/>
  </r>
  <r>
    <n v="140"/>
    <d v="2022-09-10T00:00:00"/>
    <n v="1"/>
    <n v="7"/>
    <n v="1"/>
    <n v="14000"/>
    <n v="1400"/>
    <s v=" Malaysia     "/>
    <x v="12"/>
    <x v="4"/>
    <s v=" Kuala Lumpur   "/>
    <s v=" ABC Motors       "/>
  </r>
  <r>
    <n v="141"/>
    <d v="2022-09-13T00:00:00"/>
    <n v="3"/>
    <n v="9"/>
    <n v="2"/>
    <n v="36000"/>
    <n v="3600"/>
    <s v=" Singapore    "/>
    <x v="6"/>
    <x v="5"/>
    <s v=" Singapore      "/>
    <s v=" Singapore Autos  "/>
  </r>
  <r>
    <n v="142"/>
    <d v="2022-09-14T00:00:00"/>
    <n v="9"/>
    <n v="10"/>
    <n v="1"/>
    <n v="32000"/>
    <n v="3200"/>
    <s v=" Philippines  "/>
    <x v="8"/>
    <x v="5"/>
    <s v=" Iloilo City    "/>
    <s v=" Iloilo Motors    "/>
  </r>
  <r>
    <n v="143"/>
    <d v="2022-09-15T00:00:00"/>
    <n v="9"/>
    <n v="15"/>
    <n v="3"/>
    <n v="72000"/>
    <n v="7200"/>
    <s v=" Philippines  "/>
    <x v="11"/>
    <x v="6"/>
    <s v=" Iloilo City    "/>
    <s v=" Iloilo Motors    "/>
  </r>
  <r>
    <n v="144"/>
    <d v="2022-09-16T00:00:00"/>
    <n v="9"/>
    <n v="14"/>
    <n v="1"/>
    <n v="25000"/>
    <n v="5000"/>
    <s v=" Philippines  "/>
    <x v="14"/>
    <x v="7"/>
    <s v=" Iloilo City    "/>
    <s v=" Iloilo Motors    "/>
  </r>
  <r>
    <n v="145"/>
    <d v="2022-09-17T00:00:00"/>
    <n v="9"/>
    <n v="2"/>
    <n v="2"/>
    <n v="40000"/>
    <n v="4000"/>
    <s v=" Philippines  "/>
    <x v="1"/>
    <x v="1"/>
    <s v=" Iloilo City    "/>
    <s v=" Iloilo Motors    "/>
  </r>
  <r>
    <n v="146"/>
    <d v="2022-09-20T00:00:00"/>
    <n v="6"/>
    <n v="12"/>
    <n v="1"/>
    <n v="34000"/>
    <n v="3400"/>
    <s v=" Philippines  "/>
    <x v="2"/>
    <x v="2"/>
    <s v=" Davao City     "/>
    <s v=" Davao Dealers    "/>
  </r>
  <r>
    <n v="147"/>
    <d v="2022-09-21T00:00:00"/>
    <n v="9"/>
    <n v="8"/>
    <n v="1"/>
    <n v="26000"/>
    <n v="2600"/>
    <s v=" Philippines  "/>
    <x v="5"/>
    <x v="4"/>
    <s v=" Iloilo City    "/>
    <s v=" Iloilo Motors    "/>
  </r>
  <r>
    <n v="148"/>
    <d v="2022-09-22T00:00:00"/>
    <n v="8"/>
    <n v="7"/>
    <n v="3"/>
    <n v="42000"/>
    <n v="4200"/>
    <s v=" Philippines  "/>
    <x v="12"/>
    <x v="4"/>
    <s v=" Bacolod City   "/>
    <s v=" Bacolod Autos    "/>
  </r>
  <r>
    <n v="149"/>
    <d v="2022-09-23T00:00:00"/>
    <n v="5"/>
    <n v="1"/>
    <n v="1"/>
    <n v="15000"/>
    <n v="1500"/>
    <s v=" Philippines  "/>
    <x v="9"/>
    <x v="1"/>
    <s v=" Cebu City      "/>
    <s v=" Cebu Cars        "/>
  </r>
  <r>
    <n v="150"/>
    <d v="2022-09-24T00:00:00"/>
    <n v="3"/>
    <n v="10"/>
    <n v="1"/>
    <n v="32000"/>
    <n v="3200"/>
    <s v=" Singapore    "/>
    <x v="8"/>
    <x v="5"/>
    <s v=" Singapore      "/>
    <s v=" Singapore Autos  "/>
  </r>
  <r>
    <n v="151"/>
    <d v="2022-09-27T00:00:00"/>
    <n v="8"/>
    <n v="1"/>
    <n v="2"/>
    <n v="30000"/>
    <n v="3000"/>
    <s v=" Philippines  "/>
    <x v="9"/>
    <x v="1"/>
    <s v=" Bacolod City   "/>
    <s v=" Bacolod Autos    "/>
  </r>
  <r>
    <n v="152"/>
    <d v="2022-09-28T00:00:00"/>
    <n v="3"/>
    <n v="9"/>
    <n v="1"/>
    <n v="18000"/>
    <n v="1800"/>
    <s v=" Singapore    "/>
    <x v="6"/>
    <x v="5"/>
    <s v=" Singapore      "/>
    <s v=" Singapore Autos  "/>
  </r>
  <r>
    <n v="153"/>
    <d v="2022-09-29T00:00:00"/>
    <n v="7"/>
    <n v="14"/>
    <n v="3"/>
    <n v="75000"/>
    <n v="15000"/>
    <s v=" Philippines  "/>
    <x v="14"/>
    <x v="7"/>
    <s v=" Quezon City    "/>
    <s v=" Quezon Vehicles  "/>
  </r>
  <r>
    <n v="154"/>
    <d v="2022-09-30T00:00:00"/>
    <n v="3"/>
    <n v="9"/>
    <n v="1"/>
    <n v="18000"/>
    <n v="1800"/>
    <s v=" Singapore    "/>
    <x v="6"/>
    <x v="5"/>
    <s v=" Singapore      "/>
    <s v=" Singapore Autos  "/>
  </r>
  <r>
    <n v="155"/>
    <d v="2022-10-01T00:00:00"/>
    <n v="2"/>
    <n v="4"/>
    <n v="2"/>
    <n v="56000"/>
    <n v="5600"/>
    <s v=" Malaysia     "/>
    <x v="0"/>
    <x v="0"/>
    <s v=" George Town     "/>
    <s v=" XYZ Cars         "/>
  </r>
  <r>
    <n v="156"/>
    <d v="2022-10-04T00:00:00"/>
    <n v="4"/>
    <n v="11"/>
    <n v="1"/>
    <n v="16000"/>
    <n v="3200"/>
    <s v=" Philippines  "/>
    <x v="7"/>
    <x v="2"/>
    <s v=" Manila         "/>
    <s v=" Manila Motors    "/>
  </r>
  <r>
    <n v="157"/>
    <d v="2022-10-05T00:00:00"/>
    <n v="3"/>
    <n v="15"/>
    <n v="1"/>
    <n v="24000"/>
    <n v="2400"/>
    <s v=" Singapore    "/>
    <x v="11"/>
    <x v="6"/>
    <s v=" Singapore      "/>
    <s v=" Singapore Autos  "/>
  </r>
  <r>
    <n v="158"/>
    <d v="2022-10-06T00:00:00"/>
    <n v="10"/>
    <n v="9"/>
    <n v="3"/>
    <n v="54000"/>
    <n v="5400"/>
    <s v=" Philippines  "/>
    <x v="6"/>
    <x v="5"/>
    <s v=" Zamboanga City "/>
    <s v=" Zamboanga Cars   "/>
  </r>
  <r>
    <n v="159"/>
    <d v="2022-10-07T00:00:00"/>
    <n v="8"/>
    <n v="15"/>
    <n v="1"/>
    <n v="24000"/>
    <n v="2400"/>
    <s v=" Philippines  "/>
    <x v="11"/>
    <x v="6"/>
    <s v=" Bacolod City   "/>
    <s v=" Bacolod Autos    "/>
  </r>
  <r>
    <n v="160"/>
    <d v="2022-10-08T00:00:00"/>
    <n v="5"/>
    <n v="13"/>
    <n v="1"/>
    <n v="12000"/>
    <n v="1200"/>
    <s v=" Philippines  "/>
    <x v="13"/>
    <x v="7"/>
    <s v=" Cebu City      "/>
    <s v=" Cebu Cars        "/>
  </r>
  <r>
    <n v="161"/>
    <d v="2022-10-11T00:00:00"/>
    <n v="5"/>
    <n v="11"/>
    <n v="2"/>
    <n v="32000"/>
    <n v="6400"/>
    <s v=" Philippines  "/>
    <x v="7"/>
    <x v="2"/>
    <s v=" Cebu City      "/>
    <s v=" Cebu Cars        "/>
  </r>
  <r>
    <n v="162"/>
    <d v="2022-10-12T00:00:00"/>
    <n v="2"/>
    <n v="3"/>
    <n v="1"/>
    <n v="22000"/>
    <n v="4400"/>
    <s v=" Malaysia     "/>
    <x v="3"/>
    <x v="0"/>
    <s v=" George Town     "/>
    <s v=" XYZ Cars         "/>
  </r>
  <r>
    <n v="163"/>
    <d v="2022-10-13T00:00:00"/>
    <n v="7"/>
    <n v="6"/>
    <n v="3"/>
    <n v="90000"/>
    <n v="9000"/>
    <s v=" Philippines  "/>
    <x v="4"/>
    <x v="3"/>
    <s v=" Quezon City    "/>
    <s v=" Quezon Vehicles  "/>
  </r>
  <r>
    <n v="164"/>
    <d v="2022-10-14T00:00:00"/>
    <n v="10"/>
    <n v="12"/>
    <n v="1"/>
    <n v="34000"/>
    <n v="3400"/>
    <s v=" Philippines  "/>
    <x v="2"/>
    <x v="2"/>
    <s v=" Zamboanga City "/>
    <s v=" Zamboanga Cars   "/>
  </r>
  <r>
    <n v="165"/>
    <d v="2022-10-15T00:00:00"/>
    <n v="3"/>
    <n v="4"/>
    <n v="2"/>
    <n v="56000"/>
    <n v="5600"/>
    <s v=" Singapore    "/>
    <x v="0"/>
    <x v="0"/>
    <s v=" Singapore      "/>
    <s v=" Singapore Autos  "/>
  </r>
  <r>
    <n v="166"/>
    <d v="2022-10-18T00:00:00"/>
    <n v="2"/>
    <n v="7"/>
    <n v="1"/>
    <n v="14000"/>
    <n v="1400"/>
    <s v=" Malaysia     "/>
    <x v="12"/>
    <x v="4"/>
    <s v=" George Town     "/>
    <s v=" XYZ Cars         "/>
  </r>
  <r>
    <n v="167"/>
    <d v="2022-10-19T00:00:00"/>
    <n v="4"/>
    <n v="11"/>
    <n v="1"/>
    <n v="16000"/>
    <n v="3200"/>
    <s v=" Philippines  "/>
    <x v="7"/>
    <x v="2"/>
    <s v=" Manila         "/>
    <s v=" Manila Motors    "/>
  </r>
  <r>
    <n v="168"/>
    <d v="2022-10-20T00:00:00"/>
    <n v="4"/>
    <n v="4"/>
    <n v="3"/>
    <n v="84000"/>
    <n v="8400"/>
    <s v=" Philippines  "/>
    <x v="0"/>
    <x v="0"/>
    <s v=" Manila         "/>
    <s v=" Manila Motors    "/>
  </r>
  <r>
    <n v="169"/>
    <d v="2022-10-21T00:00:00"/>
    <n v="6"/>
    <n v="14"/>
    <n v="1"/>
    <n v="25000"/>
    <n v="5000"/>
    <s v=" Philippines  "/>
    <x v="14"/>
    <x v="7"/>
    <s v=" Davao City     "/>
    <s v=" Davao Dealers    "/>
  </r>
  <r>
    <n v="170"/>
    <d v="2022-10-22T00:00:00"/>
    <n v="10"/>
    <n v="10"/>
    <n v="1"/>
    <n v="32000"/>
    <n v="3200"/>
    <s v=" Philippines  "/>
    <x v="8"/>
    <x v="5"/>
    <s v=" Zamboanga City "/>
    <s v=" Zamboanga Cars   "/>
  </r>
  <r>
    <n v="171"/>
    <d v="2022-10-25T00:00:00"/>
    <n v="5"/>
    <n v="11"/>
    <n v="2"/>
    <n v="32000"/>
    <n v="6400"/>
    <s v=" Philippines  "/>
    <x v="7"/>
    <x v="2"/>
    <s v=" Cebu City      "/>
    <s v=" Cebu Cars        "/>
  </r>
  <r>
    <n v="172"/>
    <d v="2022-10-26T00:00:00"/>
    <n v="3"/>
    <n v="11"/>
    <n v="1"/>
    <n v="16000"/>
    <n v="3200"/>
    <s v=" Singapore    "/>
    <x v="7"/>
    <x v="2"/>
    <s v=" Singapore      "/>
    <s v=" Singapore Autos  "/>
  </r>
  <r>
    <n v="173"/>
    <d v="2022-10-27T00:00:00"/>
    <n v="9"/>
    <n v="8"/>
    <n v="3"/>
    <n v="78000"/>
    <n v="7800"/>
    <s v=" Philippines  "/>
    <x v="5"/>
    <x v="4"/>
    <s v=" Iloilo City    "/>
    <s v=" Iloilo Motors    "/>
  </r>
  <r>
    <n v="174"/>
    <d v="2022-10-28T00:00:00"/>
    <n v="5"/>
    <n v="8"/>
    <n v="1"/>
    <n v="26000"/>
    <n v="2600"/>
    <s v=" Philippines  "/>
    <x v="5"/>
    <x v="4"/>
    <s v=" Cebu City      "/>
    <s v=" Cebu Cars        "/>
  </r>
  <r>
    <n v="175"/>
    <d v="2022-10-29T00:00:00"/>
    <n v="7"/>
    <n v="7"/>
    <n v="2"/>
    <n v="28000"/>
    <n v="2800"/>
    <s v=" Philippines  "/>
    <x v="12"/>
    <x v="4"/>
    <s v=" Quezon City    "/>
    <s v=" Quezon Vehicles  "/>
  </r>
  <r>
    <n v="176"/>
    <d v="2022-11-01T00:00:00"/>
    <n v="7"/>
    <n v="3"/>
    <n v="1"/>
    <n v="22000"/>
    <n v="4400"/>
    <s v=" Philippines  "/>
    <x v="3"/>
    <x v="0"/>
    <s v=" Quezon City    "/>
    <s v=" Quezon Vehicles  "/>
  </r>
  <r>
    <n v="177"/>
    <d v="2022-11-02T00:00:00"/>
    <n v="8"/>
    <n v="14"/>
    <n v="1"/>
    <n v="25000"/>
    <n v="5000"/>
    <s v=" Philippines  "/>
    <x v="14"/>
    <x v="7"/>
    <s v=" Bacolod City   "/>
    <s v=" Bacolod Autos    "/>
  </r>
  <r>
    <n v="178"/>
    <d v="2022-11-03T00:00:00"/>
    <n v="9"/>
    <n v="8"/>
    <n v="3"/>
    <n v="78000"/>
    <n v="7800"/>
    <s v=" Philippines  "/>
    <x v="5"/>
    <x v="4"/>
    <s v=" Iloilo City    "/>
    <s v=" Iloilo Motors    "/>
  </r>
  <r>
    <n v="179"/>
    <d v="2022-11-04T00:00:00"/>
    <n v="1"/>
    <n v="3"/>
    <n v="1"/>
    <n v="22000"/>
    <n v="4400"/>
    <s v=" Malaysia     "/>
    <x v="3"/>
    <x v="0"/>
    <s v=" Kuala Lumpur   "/>
    <s v=" ABC Motors       "/>
  </r>
  <r>
    <n v="180"/>
    <d v="2022-11-05T00:00:00"/>
    <n v="8"/>
    <n v="3"/>
    <n v="1"/>
    <n v="22000"/>
    <n v="4400"/>
    <s v=" Philippines  "/>
    <x v="3"/>
    <x v="0"/>
    <s v=" Bacolod City   "/>
    <s v=" Bacolod Autos    "/>
  </r>
  <r>
    <n v="181"/>
    <d v="2022-11-08T00:00:00"/>
    <n v="7"/>
    <n v="5"/>
    <n v="2"/>
    <n v="50000"/>
    <n v="5000"/>
    <s v=" Philippines  "/>
    <x v="10"/>
    <x v="3"/>
    <s v=" Quezon City    "/>
    <s v=" Quezon Vehicles  "/>
  </r>
  <r>
    <n v="182"/>
    <d v="2022-11-09T00:00:00"/>
    <n v="4"/>
    <n v="8"/>
    <n v="1"/>
    <n v="26000"/>
    <n v="2600"/>
    <s v=" Philippines  "/>
    <x v="5"/>
    <x v="4"/>
    <s v=" Manila         "/>
    <s v=" Manila Motors    "/>
  </r>
  <r>
    <n v="183"/>
    <d v="2022-11-10T00:00:00"/>
    <n v="4"/>
    <n v="1"/>
    <n v="3"/>
    <n v="45000"/>
    <n v="4500"/>
    <s v=" Philippines  "/>
    <x v="9"/>
    <x v="1"/>
    <s v=" Manila         "/>
    <s v=" Manila Motors    "/>
  </r>
  <r>
    <n v="184"/>
    <d v="2022-11-11T00:00:00"/>
    <n v="10"/>
    <n v="12"/>
    <n v="1"/>
    <n v="34000"/>
    <n v="3400"/>
    <s v=" Philippines  "/>
    <x v="2"/>
    <x v="2"/>
    <s v=" Zamboanga City "/>
    <s v=" Zamboanga Cars   "/>
  </r>
  <r>
    <n v="185"/>
    <d v="2022-11-12T00:00:00"/>
    <n v="4"/>
    <n v="5"/>
    <n v="2"/>
    <n v="50000"/>
    <n v="5000"/>
    <s v=" Philippines  "/>
    <x v="10"/>
    <x v="3"/>
    <s v=" Manila         "/>
    <s v=" Manila Motors    "/>
  </r>
  <r>
    <n v="186"/>
    <d v="2022-11-15T00:00:00"/>
    <n v="6"/>
    <n v="5"/>
    <n v="1"/>
    <n v="25000"/>
    <n v="2500"/>
    <s v=" Philippines  "/>
    <x v="10"/>
    <x v="3"/>
    <s v=" Davao City     "/>
    <s v=" Davao Dealers    "/>
  </r>
  <r>
    <n v="187"/>
    <d v="2022-11-16T00:00:00"/>
    <n v="1"/>
    <n v="11"/>
    <n v="1"/>
    <n v="16000"/>
    <n v="3200"/>
    <s v=" Malaysia     "/>
    <x v="7"/>
    <x v="2"/>
    <s v=" Kuala Lumpur   "/>
    <s v=" ABC Motors       "/>
  </r>
  <r>
    <n v="188"/>
    <d v="2022-11-17T00:00:00"/>
    <n v="3"/>
    <n v="1"/>
    <n v="3"/>
    <n v="45000"/>
    <n v="4500"/>
    <s v=" Singapore    "/>
    <x v="9"/>
    <x v="1"/>
    <s v=" Singapore      "/>
    <s v=" Singapore Autos  "/>
  </r>
  <r>
    <n v="189"/>
    <d v="2022-11-18T00:00:00"/>
    <n v="4"/>
    <n v="7"/>
    <n v="1"/>
    <n v="14000"/>
    <n v="1400"/>
    <s v=" Philippines  "/>
    <x v="12"/>
    <x v="4"/>
    <s v=" Manila         "/>
    <s v=" Manila Motors    "/>
  </r>
  <r>
    <n v="190"/>
    <d v="2022-11-19T00:00:00"/>
    <n v="6"/>
    <n v="5"/>
    <n v="1"/>
    <n v="25000"/>
    <n v="2500"/>
    <s v=" Philippines  "/>
    <x v="10"/>
    <x v="3"/>
    <s v=" Davao City     "/>
    <s v=" Davao Dealers    "/>
  </r>
  <r>
    <n v="191"/>
    <d v="2022-11-22T00:00:00"/>
    <n v="6"/>
    <n v="2"/>
    <n v="2"/>
    <n v="40000"/>
    <n v="4000"/>
    <s v=" Philippines  "/>
    <x v="1"/>
    <x v="1"/>
    <s v=" Davao City     "/>
    <s v=" Davao Dealers    "/>
  </r>
  <r>
    <n v="192"/>
    <d v="2022-11-23T00:00:00"/>
    <n v="1"/>
    <n v="1"/>
    <n v="1"/>
    <n v="15000"/>
    <n v="1500"/>
    <s v=" Malaysia     "/>
    <x v="9"/>
    <x v="1"/>
    <s v=" Kuala Lumpur   "/>
    <s v=" ABC Motors       "/>
  </r>
  <r>
    <n v="193"/>
    <d v="2022-11-24T00:00:00"/>
    <n v="2"/>
    <n v="10"/>
    <n v="3"/>
    <n v="96000"/>
    <n v="9600"/>
    <s v=" Malaysia     "/>
    <x v="8"/>
    <x v="5"/>
    <s v=" George Town     "/>
    <s v=" XYZ Cars         "/>
  </r>
  <r>
    <n v="194"/>
    <d v="2022-11-25T00:00:00"/>
    <n v="4"/>
    <n v="6"/>
    <n v="1"/>
    <n v="30000"/>
    <n v="3000"/>
    <s v=" Philippines  "/>
    <x v="4"/>
    <x v="3"/>
    <s v=" Manila         "/>
    <s v=" Manila Motors    "/>
  </r>
  <r>
    <n v="195"/>
    <d v="2022-11-26T00:00:00"/>
    <n v="6"/>
    <n v="1"/>
    <n v="2"/>
    <n v="30000"/>
    <n v="3000"/>
    <s v=" Philippines  "/>
    <x v="9"/>
    <x v="1"/>
    <s v=" Davao City     "/>
    <s v=" Davao Dealers    "/>
  </r>
  <r>
    <n v="196"/>
    <d v="2022-11-29T00:00:00"/>
    <n v="10"/>
    <n v="14"/>
    <n v="1"/>
    <n v="25000"/>
    <n v="5000"/>
    <s v=" Philippines  "/>
    <x v="14"/>
    <x v="7"/>
    <s v=" Zamboanga City "/>
    <s v=" Zamboanga Cars   "/>
  </r>
  <r>
    <n v="197"/>
    <d v="2022-11-30T00:00:00"/>
    <n v="4"/>
    <n v="12"/>
    <n v="1"/>
    <n v="34000"/>
    <n v="3400"/>
    <s v=" Philippines  "/>
    <x v="2"/>
    <x v="2"/>
    <s v=" Manila         "/>
    <s v=" Manila Motors    "/>
  </r>
  <r>
    <n v="198"/>
    <d v="2022-12-01T00:00:00"/>
    <n v="2"/>
    <n v="8"/>
    <n v="3"/>
    <n v="78000"/>
    <n v="7800"/>
    <s v=" Malaysia     "/>
    <x v="5"/>
    <x v="4"/>
    <s v=" George Town     "/>
    <s v=" XYZ Cars         "/>
  </r>
  <r>
    <n v="199"/>
    <d v="2022-12-02T00:00:00"/>
    <n v="3"/>
    <n v="2"/>
    <n v="1"/>
    <n v="20000"/>
    <n v="2000"/>
    <s v=" Singapore    "/>
    <x v="1"/>
    <x v="1"/>
    <s v=" Singapore      "/>
    <s v=" Singapore Autos  "/>
  </r>
  <r>
    <n v="200"/>
    <d v="2022-12-03T00:00:00"/>
    <n v="7"/>
    <n v="13"/>
    <n v="1"/>
    <n v="12000"/>
    <n v="1200"/>
    <s v=" Philippines  "/>
    <x v="13"/>
    <x v="7"/>
    <s v=" Quezon City    "/>
    <s v=" Quezon Vehicles  "/>
  </r>
  <r>
    <n v="201"/>
    <d v="2022-12-06T00:00:00"/>
    <n v="10"/>
    <n v="15"/>
    <n v="2"/>
    <n v="48000"/>
    <n v="4800"/>
    <s v=" Philippines  "/>
    <x v="11"/>
    <x v="6"/>
    <s v=" Zamboanga City "/>
    <s v=" Zamboanga Cars   "/>
  </r>
  <r>
    <n v="202"/>
    <d v="2022-12-07T00:00:00"/>
    <n v="4"/>
    <n v="1"/>
    <n v="1"/>
    <n v="15000"/>
    <n v="1500"/>
    <s v=" Philippines  "/>
    <x v="9"/>
    <x v="1"/>
    <s v=" Manila         "/>
    <s v=" Manila Motors    "/>
  </r>
  <r>
    <n v="203"/>
    <d v="2022-12-08T00:00:00"/>
    <n v="10"/>
    <n v="12"/>
    <n v="3"/>
    <n v="102000"/>
    <n v="10200"/>
    <s v=" Philippines  "/>
    <x v="2"/>
    <x v="2"/>
    <s v=" Zamboanga City "/>
    <s v=" Zamboanga Cars   "/>
  </r>
  <r>
    <n v="204"/>
    <d v="2022-12-09T00:00:00"/>
    <n v="5"/>
    <n v="5"/>
    <n v="1"/>
    <n v="25000"/>
    <n v="2500"/>
    <s v=" Philippines  "/>
    <x v="10"/>
    <x v="3"/>
    <s v=" Cebu City      "/>
    <s v=" Cebu Cars        "/>
  </r>
  <r>
    <n v="205"/>
    <d v="2022-12-10T00:00:00"/>
    <n v="1"/>
    <n v="11"/>
    <n v="2"/>
    <n v="32000"/>
    <n v="6400"/>
    <s v=" Malaysia     "/>
    <x v="7"/>
    <x v="2"/>
    <s v=" Kuala Lumpur   "/>
    <s v=" ABC Motors       "/>
  </r>
  <r>
    <n v="206"/>
    <d v="2022-12-13T00:00:00"/>
    <n v="9"/>
    <n v="2"/>
    <n v="1"/>
    <n v="20000"/>
    <n v="2000"/>
    <s v=" Philippines  "/>
    <x v="1"/>
    <x v="1"/>
    <s v=" Iloilo City    "/>
    <s v=" Iloilo Motors    "/>
  </r>
  <r>
    <n v="207"/>
    <d v="2022-12-14T00:00:00"/>
    <n v="4"/>
    <n v="13"/>
    <n v="1"/>
    <n v="12000"/>
    <n v="1200"/>
    <s v=" Philippines  "/>
    <x v="13"/>
    <x v="7"/>
    <s v=" Manila         "/>
    <s v=" Manila Motors    "/>
  </r>
  <r>
    <n v="208"/>
    <d v="2022-12-15T00:00:00"/>
    <n v="7"/>
    <n v="12"/>
    <n v="3"/>
    <n v="102000"/>
    <n v="10200"/>
    <s v=" Philippines  "/>
    <x v="2"/>
    <x v="2"/>
    <s v=" Quezon City    "/>
    <s v=" Quezon Vehicles  "/>
  </r>
  <r>
    <n v="209"/>
    <d v="2022-12-16T00:00:00"/>
    <n v="2"/>
    <n v="4"/>
    <n v="1"/>
    <n v="28000"/>
    <n v="2800"/>
    <s v=" Malaysia     "/>
    <x v="0"/>
    <x v="0"/>
    <s v=" George Town     "/>
    <s v=" XYZ Cars         "/>
  </r>
  <r>
    <n v="210"/>
    <d v="2022-12-17T00:00:00"/>
    <n v="9"/>
    <n v="9"/>
    <n v="1"/>
    <n v="18000"/>
    <n v="1800"/>
    <s v=" Philippines  "/>
    <x v="6"/>
    <x v="5"/>
    <s v=" Iloilo City    "/>
    <s v=" Iloilo Motors    "/>
  </r>
  <r>
    <n v="211"/>
    <d v="2022-12-20T00:00:00"/>
    <n v="10"/>
    <n v="8"/>
    <n v="2"/>
    <n v="52000"/>
    <n v="5200"/>
    <s v=" Philippines  "/>
    <x v="5"/>
    <x v="4"/>
    <s v=" Zamboanga City "/>
    <s v=" Zamboanga Cars   "/>
  </r>
  <r>
    <n v="212"/>
    <d v="2022-12-21T00:00:00"/>
    <n v="4"/>
    <n v="4"/>
    <n v="1"/>
    <n v="28000"/>
    <n v="2800"/>
    <s v=" Philippines  "/>
    <x v="0"/>
    <x v="0"/>
    <s v=" Manila         "/>
    <s v=" Manila Motors    "/>
  </r>
  <r>
    <n v="213"/>
    <d v="2022-12-22T00:00:00"/>
    <n v="4"/>
    <n v="2"/>
    <n v="3"/>
    <n v="60000"/>
    <n v="6000"/>
    <s v=" Philippines  "/>
    <x v="1"/>
    <x v="1"/>
    <s v=" Manila         "/>
    <s v=" Manila Motors    "/>
  </r>
  <r>
    <n v="214"/>
    <d v="2022-12-23T00:00:00"/>
    <n v="4"/>
    <n v="12"/>
    <n v="1"/>
    <n v="34000"/>
    <n v="3400"/>
    <s v=" Philippines  "/>
    <x v="2"/>
    <x v="2"/>
    <s v=" Manila         "/>
    <s v=" Manila Motors    "/>
  </r>
  <r>
    <n v="215"/>
    <d v="2022-12-24T00:00:00"/>
    <n v="4"/>
    <n v="15"/>
    <n v="2"/>
    <n v="48000"/>
    <n v="4800"/>
    <s v=" Philippines  "/>
    <x v="11"/>
    <x v="6"/>
    <s v=" Manila         "/>
    <s v=" Manila Motors    "/>
  </r>
  <r>
    <n v="216"/>
    <d v="2022-12-27T00:00:00"/>
    <n v="8"/>
    <n v="13"/>
    <n v="1"/>
    <n v="12000"/>
    <n v="1200"/>
    <s v=" Philippines  "/>
    <x v="13"/>
    <x v="7"/>
    <s v=" Bacolod City   "/>
    <s v=" Bacolod Autos    "/>
  </r>
  <r>
    <n v="217"/>
    <d v="2022-12-28T00:00:00"/>
    <n v="8"/>
    <n v="6"/>
    <n v="1"/>
    <n v="30000"/>
    <n v="3000"/>
    <s v=" Philippines  "/>
    <x v="4"/>
    <x v="3"/>
    <s v=" Bacolod City   "/>
    <s v=" Bacolod Autos    "/>
  </r>
  <r>
    <n v="218"/>
    <d v="2022-12-29T00:00:00"/>
    <n v="2"/>
    <n v="8"/>
    <n v="3"/>
    <n v="78000"/>
    <n v="7800"/>
    <s v=" Malaysia     "/>
    <x v="5"/>
    <x v="4"/>
    <s v=" George Town     "/>
    <s v=" XYZ Cars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8BF5D2-88D1-4565-8981-EECE94D8EAE4}" name="PivotTable2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0">
    <pivotField showAll="0"/>
    <pivotField showAll="0"/>
    <pivotField showAll="0"/>
    <pivotField showAll="0"/>
    <pivotField showAll="0"/>
    <pivotField showAll="0"/>
    <pivotField dataField="1" showAll="0"/>
    <pivotField axis="axisRow" showAll="0">
      <items count="5">
        <item x="1"/>
        <item x="0"/>
        <item x="2"/>
        <item h="1" x="3"/>
        <item t="default"/>
      </items>
    </pivotField>
    <pivotField showAll="0"/>
    <pivotField showAll="0"/>
  </pivotFields>
  <rowFields count="1">
    <field x="7"/>
  </rowFields>
  <rowItems count="4">
    <i>
      <x/>
    </i>
    <i>
      <x v="1"/>
    </i>
    <i>
      <x v="2"/>
    </i>
    <i t="grand">
      <x/>
    </i>
  </rowItems>
  <colItems count="1">
    <i/>
  </colItems>
  <dataFields count="1">
    <dataField name="Sum of Total Profit" fld="6"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2FDD2-BE78-47C0-8E23-550FCFD4DE42}" name="PivotTable3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3:L7" firstHeaderRow="1" firstDataRow="1" firstDataCol="1"/>
  <pivotFields count="12">
    <pivotField showAll="0"/>
    <pivotField showAll="0"/>
    <pivotField showAll="0"/>
    <pivotField showAll="0"/>
    <pivotField dataField="1" showAll="0"/>
    <pivotField showAll="0"/>
    <pivotField showAll="0"/>
    <pivotField showAll="0"/>
    <pivotField showAll="0"/>
    <pivotField axis="axisRow" showAll="0" measureFilter="1">
      <items count="10">
        <item x="6"/>
        <item x="3"/>
        <item x="7"/>
        <item x="5"/>
        <item x="1"/>
        <item x="4"/>
        <item x="2"/>
        <item x="0"/>
        <item x="8"/>
        <item t="default"/>
      </items>
    </pivotField>
    <pivotField showAll="0"/>
    <pivotField showAll="0"/>
  </pivotFields>
  <rowFields count="1">
    <field x="9"/>
  </rowFields>
  <rowItems count="4">
    <i>
      <x v="2"/>
    </i>
    <i>
      <x v="4"/>
    </i>
    <i>
      <x v="5"/>
    </i>
    <i t="grand">
      <x/>
    </i>
  </rowItems>
  <colItems count="1">
    <i/>
  </colItems>
  <dataFields count="1">
    <dataField name="Sum of Quantity" fld="4"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2"/>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34CB3-0B50-4BA0-8F3B-D0836B2FE73F}" name="PivotTable3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2">
    <pivotField showAll="0"/>
    <pivotField numFmtId="14" showAll="0"/>
    <pivotField showAll="0"/>
    <pivotField showAll="0"/>
    <pivotField dataField="1" showAll="0"/>
    <pivotField showAll="0"/>
    <pivotField showAll="0"/>
    <pivotField showAll="0"/>
    <pivotField axis="axisRow" showAll="0" measureFilter="1">
      <items count="16">
        <item x="7"/>
        <item x="12"/>
        <item x="3"/>
        <item x="1"/>
        <item x="0"/>
        <item x="4"/>
        <item x="11"/>
        <item x="8"/>
        <item x="13"/>
        <item x="10"/>
        <item x="2"/>
        <item x="9"/>
        <item x="14"/>
        <item x="6"/>
        <item x="5"/>
        <item t="default"/>
      </items>
    </pivotField>
    <pivotField showAll="0"/>
    <pivotField showAll="0"/>
    <pivotField showAll="0"/>
  </pivotFields>
  <rowFields count="1">
    <field x="8"/>
  </rowFields>
  <rowItems count="4">
    <i>
      <x v="10"/>
    </i>
    <i>
      <x v="11"/>
    </i>
    <i>
      <x v="14"/>
    </i>
    <i t="grand">
      <x/>
    </i>
  </rowItems>
  <colItems count="1">
    <i/>
  </colItems>
  <dataFields count="1">
    <dataField name="Sum of Quantity" fld="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0"/>
          </reference>
        </references>
      </pivotArea>
    </chartFormat>
    <chartFormat chart="0" format="2">
      <pivotArea type="data" outline="0" fieldPosition="0">
        <references count="2">
          <reference field="4294967294" count="1" selected="0">
            <x v="0"/>
          </reference>
          <reference field="8" count="1" selected="0">
            <x v="11"/>
          </reference>
        </references>
      </pivotArea>
    </chartFormat>
    <chartFormat chart="0" format="3">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E8BC6-14E4-4B3C-82D5-FD933316055C}" name="PivotTable3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12" firstHeaderRow="0" firstDataRow="1" firstDataCol="1"/>
  <pivotFields count="12">
    <pivotField showAll="0"/>
    <pivotField showAll="0"/>
    <pivotField showAll="0"/>
    <pivotField showAll="0"/>
    <pivotField dataField="1" showAll="0"/>
    <pivotField showAll="0"/>
    <pivotField dataField="1" showAll="0"/>
    <pivotField showAll="0"/>
    <pivotField showAll="0"/>
    <pivotField axis="axisRow" showAll="0">
      <items count="10">
        <item x="6"/>
        <item x="3"/>
        <item x="7"/>
        <item x="5"/>
        <item x="1"/>
        <item x="4"/>
        <item x="2"/>
        <item x="0"/>
        <item h="1" x="8"/>
        <item t="default"/>
      </items>
    </pivotField>
    <pivotField showAll="0"/>
    <pivotField showAll="0"/>
  </pivotFields>
  <rowFields count="1">
    <field x="9"/>
  </rowFields>
  <rowItems count="9">
    <i>
      <x/>
    </i>
    <i>
      <x v="1"/>
    </i>
    <i>
      <x v="2"/>
    </i>
    <i>
      <x v="3"/>
    </i>
    <i>
      <x v="4"/>
    </i>
    <i>
      <x v="5"/>
    </i>
    <i>
      <x v="6"/>
    </i>
    <i>
      <x v="7"/>
    </i>
    <i t="grand">
      <x/>
    </i>
  </rowItems>
  <colFields count="1">
    <field x="-2"/>
  </colFields>
  <colItems count="2">
    <i>
      <x/>
    </i>
    <i i="1">
      <x v="1"/>
    </i>
  </colItems>
  <dataFields count="2">
    <dataField name="Sum of Quantity" fld="4" baseField="0" baseItem="0"/>
    <dataField name="Sum of Total Profit"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B7D288-BEA3-459F-B01E-1DF879ECDD09}" name="PivotTable3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C22" firstHeaderRow="0" firstDataRow="1" firstDataCol="1"/>
  <pivotFields count="12">
    <pivotField showAll="0"/>
    <pivotField showAll="0"/>
    <pivotField showAll="0"/>
    <pivotField showAll="0"/>
    <pivotField showAll="0"/>
    <pivotField dataField="1" showAll="0"/>
    <pivotField dataField="1" showAll="0"/>
    <pivotField showAll="0"/>
    <pivotField showAll="0"/>
    <pivotField showAll="0"/>
    <pivotField axis="axisRow" showAll="0">
      <items count="12">
        <item x="4"/>
        <item x="2"/>
        <item x="0"/>
        <item x="5"/>
        <item x="7"/>
        <item x="6"/>
        <item x="1"/>
        <item x="3"/>
        <item x="8"/>
        <item x="9"/>
        <item x="10"/>
        <item t="default"/>
      </items>
    </pivotField>
    <pivotField axis="axisRow" showAll="0">
      <items count="12">
        <item x="6"/>
        <item x="4"/>
        <item x="2"/>
        <item x="0"/>
        <item x="7"/>
        <item x="1"/>
        <item x="3"/>
        <item x="8"/>
        <item x="5"/>
        <item x="9"/>
        <item h="1" x="10"/>
        <item t="default"/>
      </items>
    </pivotField>
  </pivotFields>
  <rowFields count="2">
    <field x="10"/>
    <field x="11"/>
  </rowFields>
  <rowItems count="21">
    <i>
      <x/>
    </i>
    <i r="1">
      <x v="1"/>
    </i>
    <i>
      <x v="1"/>
    </i>
    <i r="1">
      <x v="2"/>
    </i>
    <i>
      <x v="2"/>
    </i>
    <i r="1">
      <x v="3"/>
    </i>
    <i>
      <x v="3"/>
    </i>
    <i r="1">
      <x v="8"/>
    </i>
    <i>
      <x v="4"/>
    </i>
    <i r="1">
      <x v="4"/>
    </i>
    <i>
      <x v="5"/>
    </i>
    <i r="1">
      <x/>
    </i>
    <i>
      <x v="6"/>
    </i>
    <i r="1">
      <x v="5"/>
    </i>
    <i>
      <x v="7"/>
    </i>
    <i r="1">
      <x v="6"/>
    </i>
    <i>
      <x v="8"/>
    </i>
    <i r="1">
      <x v="7"/>
    </i>
    <i>
      <x v="9"/>
    </i>
    <i r="1">
      <x v="9"/>
    </i>
    <i t="grand">
      <x/>
    </i>
  </rowItems>
  <colFields count="1">
    <field x="-2"/>
  </colFields>
  <colItems count="2">
    <i>
      <x/>
    </i>
    <i i="1">
      <x v="1"/>
    </i>
  </colItems>
  <dataFields count="2">
    <dataField name="Sum of Total Profit" fld="6" baseField="0" baseItem="0"/>
    <dataField name="Sum of TotalPrice" fld="5"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4B15E3-1F18-4379-A3B5-716B62ED7627}" name="Table3" displayName="Table3" ref="A1:D11" totalsRowShown="0">
  <autoFilter ref="A1:D11" xr:uid="{D24B15E3-1F18-4379-A3B5-716B62ED7627}"/>
  <tableColumns count="4">
    <tableColumn id="1" xr3:uid="{58D68B4F-0E14-4CAC-A9D1-3BE35DB7FBD4}" name="DealerID"/>
    <tableColumn id="2" xr3:uid="{CC9F15F2-346B-4644-949B-EF0A62A801F8}" name="DealerName"/>
    <tableColumn id="3" xr3:uid="{1CD25EDD-7189-4E6A-82B8-8CD393DC372E}" name="City"/>
    <tableColumn id="4" xr3:uid="{B819BD4B-185B-499E-B5E1-B684E460C897}" name="Country"/>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3B2B30-F905-4E92-9285-45626D7B69A5}" name="Table1" displayName="Table1" ref="A1:H16" totalsRowShown="0">
  <autoFilter ref="A1:H16" xr:uid="{9A3B2B30-F905-4E92-9285-45626D7B69A5}"/>
  <tableColumns count="8">
    <tableColumn id="1" xr3:uid="{2A50129B-BD0B-40AA-9F37-963527DA9F20}" name="ModelID"/>
    <tableColumn id="2" xr3:uid="{9F23D994-356A-4444-81DA-7D6DFCF82350}" name="Brand"/>
    <tableColumn id="3" xr3:uid="{4ADEF110-6899-43FC-BA93-0824644C1CF1}" name="Model"/>
    <tableColumn id="4" xr3:uid="{5568229C-20A3-4E18-AB4D-F39B75230345}" name="Segment"/>
    <tableColumn id="5" xr3:uid="{8635BAB7-363A-49B3-8538-B441F8D5D8C2}" name="EngineSize (L)"/>
    <tableColumn id="6" xr3:uid="{980CDEF3-D46A-4ECA-81C1-6B953E0E867B}" name="Fuel"/>
    <tableColumn id="7" xr3:uid="{98991860-BAA4-407D-83D6-429987DC8334}" name="Price (USD)" dataDxfId="4" dataCellStyle="Currency"/>
    <tableColumn id="8" xr3:uid="{0EFA483F-A9F5-4947-8B54-CBD211C16298}" name="Profit (USD)" dataDxfId="3" dataCellStyle="Currency"/>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2A0727-6980-44B1-8C4D-514CD2CE58FB}" name="Table2" displayName="Table2" ref="A1:L219" totalsRowShown="0">
  <autoFilter ref="A1:L219" xr:uid="{B52A0727-6980-44B1-8C4D-514CD2CE58FB}"/>
  <tableColumns count="12">
    <tableColumn id="1" xr3:uid="{7F10EBD8-E00F-4299-ABDD-31F429239528}" name="SaleID"/>
    <tableColumn id="2" xr3:uid="{F805C76E-8F92-4EF2-BEF1-767786541BB0}" name="Date" dataDxfId="9"/>
    <tableColumn id="4" xr3:uid="{817073F3-20DF-41E5-9012-CEE5B0B1B9A5}" name="DealerID">
      <calculatedColumnFormula>RANDBETWEEN(1,10)</calculatedColumnFormula>
    </tableColumn>
    <tableColumn id="5" xr3:uid="{2F1BB8E9-1C27-4D65-AA5E-77C3E3DC461C}" name="ModelID">
      <calculatedColumnFormula>RANDBETWEEN(1,15)</calculatedColumnFormula>
    </tableColumn>
    <tableColumn id="6" xr3:uid="{863B1DE4-F9BF-49D5-8802-F3B8806107FB}" name="Quantity"/>
    <tableColumn id="7" xr3:uid="{54FCE9FD-9E68-473E-9C89-26CFDC2CE323}" name="TotalPrice" dataDxfId="2" dataCellStyle="Currency">
      <calculatedColumnFormula>Table2[[#This Row],[Quantity]]*(INDEX(Models!G:G,MATCH(Table2[[#This Row],[ModelID]],Models!A:A,0)))</calculatedColumnFormula>
    </tableColumn>
    <tableColumn id="3" xr3:uid="{4E0A3EAB-A12E-4090-BB84-4912C4738F55}" name="Total Profit" dataDxfId="0" dataCellStyle="Currency">
      <calculatedColumnFormula>Table2[[#This Row],[Quantity]]*(INDEX(Models!H:H,MATCH(Table2[[#This Row],[ModelID]],Models!A:A,0)))</calculatedColumnFormula>
    </tableColumn>
    <tableColumn id="8" xr3:uid="{8B5D6340-12D9-446A-B45D-AB9599D091BD}" name="Country" dataDxfId="1">
      <calculatedColumnFormula>VLOOKUP(Table2[[#This Row],[DealerID]], Dealers!A:D, 4,FALSE)</calculatedColumnFormula>
    </tableColumn>
    <tableColumn id="9" xr3:uid="{1A57685B-B030-4798-B1BE-00F38766BF89}" name="Cars" dataDxfId="8">
      <calculatedColumnFormula>VLOOKUP(Table2[[#This Row],[ModelID]],Models!A:C,3,FALSE)</calculatedColumnFormula>
    </tableColumn>
    <tableColumn id="10" xr3:uid="{8C8CE1CD-DEE4-4749-A8D7-8B1FED42E917}" name="Brands" dataDxfId="7">
      <calculatedColumnFormula>VLOOKUP(Table2[[#This Row],[ModelID]],Models!A:C,2,FALSE)</calculatedColumnFormula>
    </tableColumn>
    <tableColumn id="11" xr3:uid="{44A109A1-F87B-404B-A74C-2F2B07AEB95D}" name="City" dataDxfId="6">
      <calculatedColumnFormula>VLOOKUP(Table2[[#This Row],[DealerID]], Dealers!A:D, 3,FALSE)</calculatedColumnFormula>
    </tableColumn>
    <tableColumn id="12" xr3:uid="{4A5F846C-29A7-4720-9BA3-EF1C7DF1BB13}" name="Dealer" dataDxfId="5">
      <calculatedColumnFormula>VLOOKUP(Table2[[#This Row],[DealerID]], Dealers!A:D, 2,FALSE)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0B9E-BAE9-4CAF-88DE-B434979915BC}">
  <dimension ref="A1:D11"/>
  <sheetViews>
    <sheetView workbookViewId="0">
      <selection activeCell="C20" sqref="C20"/>
    </sheetView>
  </sheetViews>
  <sheetFormatPr defaultRowHeight="15" x14ac:dyDescent="0.25"/>
  <cols>
    <col min="1" max="1" width="10.85546875" customWidth="1"/>
    <col min="2" max="2" width="28.42578125" bestFit="1" customWidth="1"/>
    <col min="3" max="3" width="35.28515625" bestFit="1" customWidth="1"/>
    <col min="4" max="4" width="15.42578125" bestFit="1" customWidth="1"/>
    <col min="5" max="5" width="32.28515625" bestFit="1" customWidth="1"/>
    <col min="6" max="6" width="13.42578125" bestFit="1" customWidth="1"/>
    <col min="7" max="7" width="17.42578125" bestFit="1" customWidth="1"/>
    <col min="8" max="8" width="12.7109375" customWidth="1"/>
  </cols>
  <sheetData>
    <row r="1" spans="1:4" x14ac:dyDescent="0.25">
      <c r="A1" t="s">
        <v>4</v>
      </c>
      <c r="B1" t="s">
        <v>5</v>
      </c>
      <c r="C1" t="s">
        <v>2</v>
      </c>
      <c r="D1" t="s">
        <v>3</v>
      </c>
    </row>
    <row r="2" spans="1:4" x14ac:dyDescent="0.25">
      <c r="A2">
        <v>1</v>
      </c>
      <c r="B2" t="s">
        <v>17</v>
      </c>
      <c r="C2" t="s">
        <v>18</v>
      </c>
      <c r="D2" t="s">
        <v>19</v>
      </c>
    </row>
    <row r="3" spans="1:4" x14ac:dyDescent="0.25">
      <c r="A3">
        <v>2</v>
      </c>
      <c r="B3" t="s">
        <v>20</v>
      </c>
      <c r="C3" t="s">
        <v>21</v>
      </c>
      <c r="D3" t="s">
        <v>19</v>
      </c>
    </row>
    <row r="4" spans="1:4" x14ac:dyDescent="0.25">
      <c r="A4">
        <v>3</v>
      </c>
      <c r="B4" t="s">
        <v>22</v>
      </c>
      <c r="C4" t="s">
        <v>23</v>
      </c>
      <c r="D4" t="s">
        <v>24</v>
      </c>
    </row>
    <row r="5" spans="1:4" x14ac:dyDescent="0.25">
      <c r="A5">
        <v>4</v>
      </c>
      <c r="B5" t="s">
        <v>25</v>
      </c>
      <c r="C5" t="s">
        <v>26</v>
      </c>
      <c r="D5" t="s">
        <v>27</v>
      </c>
    </row>
    <row r="6" spans="1:4" x14ac:dyDescent="0.25">
      <c r="A6">
        <v>5</v>
      </c>
      <c r="B6" t="s">
        <v>28</v>
      </c>
      <c r="C6" t="s">
        <v>29</v>
      </c>
      <c r="D6" t="s">
        <v>27</v>
      </c>
    </row>
    <row r="7" spans="1:4" x14ac:dyDescent="0.25">
      <c r="A7">
        <v>6</v>
      </c>
      <c r="B7" t="s">
        <v>30</v>
      </c>
      <c r="C7" t="s">
        <v>31</v>
      </c>
      <c r="D7" t="s">
        <v>27</v>
      </c>
    </row>
    <row r="8" spans="1:4" x14ac:dyDescent="0.25">
      <c r="A8">
        <v>7</v>
      </c>
      <c r="B8" t="s">
        <v>32</v>
      </c>
      <c r="C8" t="s">
        <v>33</v>
      </c>
      <c r="D8" t="s">
        <v>27</v>
      </c>
    </row>
    <row r="9" spans="1:4" x14ac:dyDescent="0.25">
      <c r="A9">
        <v>8</v>
      </c>
      <c r="B9" t="s">
        <v>34</v>
      </c>
      <c r="C9" t="s">
        <v>35</v>
      </c>
      <c r="D9" t="s">
        <v>27</v>
      </c>
    </row>
    <row r="10" spans="1:4" x14ac:dyDescent="0.25">
      <c r="A10">
        <v>9</v>
      </c>
      <c r="B10" t="s">
        <v>36</v>
      </c>
      <c r="C10" t="s">
        <v>37</v>
      </c>
      <c r="D10" t="s">
        <v>27</v>
      </c>
    </row>
    <row r="11" spans="1:4" x14ac:dyDescent="0.25">
      <c r="A11">
        <v>10</v>
      </c>
      <c r="B11" t="s">
        <v>38</v>
      </c>
      <c r="C11" t="s">
        <v>39</v>
      </c>
      <c r="D11" t="s">
        <v>27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E9EF-C5DC-4F47-807C-25F3889625C5}">
  <dimension ref="A1:H16"/>
  <sheetViews>
    <sheetView workbookViewId="0">
      <selection activeCell="J9" sqref="J9"/>
    </sheetView>
  </sheetViews>
  <sheetFormatPr defaultRowHeight="15" x14ac:dyDescent="0.25"/>
  <cols>
    <col min="1" max="1" width="10.7109375" customWidth="1"/>
    <col min="2" max="2" width="14.85546875" bestFit="1" customWidth="1"/>
    <col min="3" max="3" width="14" customWidth="1"/>
    <col min="4" max="4" width="11" customWidth="1"/>
    <col min="5" max="5" width="15.42578125" customWidth="1"/>
    <col min="6" max="6" width="10.5703125" bestFit="1" customWidth="1"/>
    <col min="7" max="7" width="13.28515625" bestFit="1" customWidth="1"/>
    <col min="8" max="8" width="13.85546875" bestFit="1" customWidth="1"/>
  </cols>
  <sheetData>
    <row r="1" spans="1:8" x14ac:dyDescent="0.25">
      <c r="A1" t="s">
        <v>6</v>
      </c>
      <c r="B1" t="s">
        <v>0</v>
      </c>
      <c r="C1" t="s">
        <v>1</v>
      </c>
      <c r="D1" t="s">
        <v>11</v>
      </c>
      <c r="E1" t="s">
        <v>12</v>
      </c>
      <c r="F1" t="s">
        <v>13</v>
      </c>
      <c r="G1" s="10" t="s">
        <v>14</v>
      </c>
      <c r="H1" s="10" t="s">
        <v>15</v>
      </c>
    </row>
    <row r="2" spans="1:8" x14ac:dyDescent="0.25">
      <c r="A2">
        <v>1</v>
      </c>
      <c r="B2" t="s">
        <v>40</v>
      </c>
      <c r="C2" t="s">
        <v>60</v>
      </c>
      <c r="D2" t="s">
        <v>41</v>
      </c>
      <c r="E2" t="s">
        <v>42</v>
      </c>
      <c r="F2" t="s">
        <v>43</v>
      </c>
      <c r="G2" s="10">
        <v>15000</v>
      </c>
      <c r="H2" s="10">
        <f>Table1[[#This Row],[Price (USD)]]*0.1</f>
        <v>1500</v>
      </c>
    </row>
    <row r="3" spans="1:8" x14ac:dyDescent="0.25">
      <c r="A3">
        <v>2</v>
      </c>
      <c r="B3" t="s">
        <v>40</v>
      </c>
      <c r="C3" t="s">
        <v>61</v>
      </c>
      <c r="D3" t="s">
        <v>41</v>
      </c>
      <c r="E3" t="s">
        <v>45</v>
      </c>
      <c r="F3" t="s">
        <v>43</v>
      </c>
      <c r="G3" s="10">
        <v>20000</v>
      </c>
      <c r="H3" s="10">
        <f>Table1[[#This Row],[Price (USD)]]*0.1</f>
        <v>2000</v>
      </c>
    </row>
    <row r="4" spans="1:8" x14ac:dyDescent="0.25">
      <c r="A4">
        <v>3</v>
      </c>
      <c r="B4" t="s">
        <v>44</v>
      </c>
      <c r="C4" t="s">
        <v>62</v>
      </c>
      <c r="D4" t="s">
        <v>41</v>
      </c>
      <c r="E4" t="s">
        <v>45</v>
      </c>
      <c r="F4" t="s">
        <v>43</v>
      </c>
      <c r="G4" s="10">
        <v>22000</v>
      </c>
      <c r="H4" s="10">
        <f>Table1[[#This Row],[Price (USD)]]*0.2</f>
        <v>4400</v>
      </c>
    </row>
    <row r="5" spans="1:8" x14ac:dyDescent="0.25">
      <c r="A5">
        <v>4</v>
      </c>
      <c r="B5" t="s">
        <v>44</v>
      </c>
      <c r="C5" t="s">
        <v>63</v>
      </c>
      <c r="D5" t="s">
        <v>55</v>
      </c>
      <c r="E5" t="s">
        <v>64</v>
      </c>
      <c r="F5" t="s">
        <v>43</v>
      </c>
      <c r="G5" s="10">
        <v>28000</v>
      </c>
      <c r="H5" s="10">
        <f>Table1[[#This Row],[Price (USD)]]*0.1</f>
        <v>2800</v>
      </c>
    </row>
    <row r="6" spans="1:8" x14ac:dyDescent="0.25">
      <c r="A6">
        <v>5</v>
      </c>
      <c r="B6" t="s">
        <v>46</v>
      </c>
      <c r="C6" t="s">
        <v>65</v>
      </c>
      <c r="D6" t="s">
        <v>47</v>
      </c>
      <c r="E6" t="s">
        <v>48</v>
      </c>
      <c r="F6" t="s">
        <v>49</v>
      </c>
      <c r="G6" s="10">
        <v>25000</v>
      </c>
      <c r="H6" s="10">
        <f>Table1[[#This Row],[Price (USD)]]*0.1</f>
        <v>2500</v>
      </c>
    </row>
    <row r="7" spans="1:8" x14ac:dyDescent="0.25">
      <c r="A7">
        <v>6</v>
      </c>
      <c r="B7" t="s">
        <v>46</v>
      </c>
      <c r="C7" t="s">
        <v>66</v>
      </c>
      <c r="D7" t="s">
        <v>55</v>
      </c>
      <c r="E7" t="s">
        <v>48</v>
      </c>
      <c r="F7" t="s">
        <v>49</v>
      </c>
      <c r="G7" s="10">
        <v>30000</v>
      </c>
      <c r="H7" s="10">
        <f>Table1[[#This Row],[Price (USD)]]*0.1</f>
        <v>3000</v>
      </c>
    </row>
    <row r="8" spans="1:8" x14ac:dyDescent="0.25">
      <c r="A8">
        <v>7</v>
      </c>
      <c r="B8" t="s">
        <v>50</v>
      </c>
      <c r="C8" t="s">
        <v>67</v>
      </c>
      <c r="D8" t="s">
        <v>41</v>
      </c>
      <c r="E8" t="s">
        <v>51</v>
      </c>
      <c r="F8" t="s">
        <v>43</v>
      </c>
      <c r="G8" s="10">
        <v>14000</v>
      </c>
      <c r="H8" s="10">
        <f>Table1[[#This Row],[Price (USD)]]*0.1</f>
        <v>1400</v>
      </c>
    </row>
    <row r="9" spans="1:8" x14ac:dyDescent="0.25">
      <c r="A9">
        <v>8</v>
      </c>
      <c r="B9" t="s">
        <v>50</v>
      </c>
      <c r="C9" t="s">
        <v>68</v>
      </c>
      <c r="D9" t="s">
        <v>55</v>
      </c>
      <c r="E9" t="s">
        <v>59</v>
      </c>
      <c r="F9" t="s">
        <v>43</v>
      </c>
      <c r="G9" s="10">
        <v>26000</v>
      </c>
      <c r="H9" s="10">
        <f>Table1[[#This Row],[Price (USD)]]*0.1</f>
        <v>2600</v>
      </c>
    </row>
    <row r="10" spans="1:8" x14ac:dyDescent="0.25">
      <c r="A10">
        <v>9</v>
      </c>
      <c r="B10" t="s">
        <v>52</v>
      </c>
      <c r="C10" t="s">
        <v>69</v>
      </c>
      <c r="D10" t="s">
        <v>53</v>
      </c>
      <c r="E10" t="s">
        <v>42</v>
      </c>
      <c r="F10" t="s">
        <v>43</v>
      </c>
      <c r="G10" s="10">
        <v>18000</v>
      </c>
      <c r="H10" s="10">
        <f>Table1[[#This Row],[Price (USD)]]*0.1</f>
        <v>1800</v>
      </c>
    </row>
    <row r="11" spans="1:8" x14ac:dyDescent="0.25">
      <c r="A11">
        <v>10</v>
      </c>
      <c r="B11" t="s">
        <v>52</v>
      </c>
      <c r="C11" t="s">
        <v>70</v>
      </c>
      <c r="D11" t="s">
        <v>55</v>
      </c>
      <c r="E11" t="s">
        <v>64</v>
      </c>
      <c r="F11" t="s">
        <v>43</v>
      </c>
      <c r="G11" s="10">
        <v>32000</v>
      </c>
      <c r="H11" s="10">
        <f>Table1[[#This Row],[Price (USD)]]*0.1</f>
        <v>3200</v>
      </c>
    </row>
    <row r="12" spans="1:8" x14ac:dyDescent="0.25">
      <c r="A12">
        <v>11</v>
      </c>
      <c r="B12" t="s">
        <v>54</v>
      </c>
      <c r="C12" t="s">
        <v>71</v>
      </c>
      <c r="D12" t="s">
        <v>41</v>
      </c>
      <c r="E12" t="s">
        <v>57</v>
      </c>
      <c r="F12" t="s">
        <v>43</v>
      </c>
      <c r="G12" s="10">
        <v>16000</v>
      </c>
      <c r="H12" s="10">
        <f>Table1[[#This Row],[Price (USD)]]*0.2</f>
        <v>3200</v>
      </c>
    </row>
    <row r="13" spans="1:8" x14ac:dyDescent="0.25">
      <c r="A13">
        <v>12</v>
      </c>
      <c r="B13" t="s">
        <v>54</v>
      </c>
      <c r="C13" t="s">
        <v>72</v>
      </c>
      <c r="D13" t="s">
        <v>55</v>
      </c>
      <c r="E13" t="s">
        <v>64</v>
      </c>
      <c r="F13" t="s">
        <v>43</v>
      </c>
      <c r="G13" s="10">
        <v>34000</v>
      </c>
      <c r="H13" s="10">
        <f>Table1[[#This Row],[Price (USD)]]*0.1</f>
        <v>3400</v>
      </c>
    </row>
    <row r="14" spans="1:8" x14ac:dyDescent="0.25">
      <c r="A14">
        <v>13</v>
      </c>
      <c r="B14" t="s">
        <v>56</v>
      </c>
      <c r="C14" t="s">
        <v>73</v>
      </c>
      <c r="D14" t="s">
        <v>41</v>
      </c>
      <c r="E14" t="s">
        <v>57</v>
      </c>
      <c r="F14" t="s">
        <v>43</v>
      </c>
      <c r="G14" s="10">
        <v>12000</v>
      </c>
      <c r="H14" s="10">
        <f>Table1[[#This Row],[Price (USD)]]*0.1</f>
        <v>1200</v>
      </c>
    </row>
    <row r="15" spans="1:8" x14ac:dyDescent="0.25">
      <c r="A15">
        <v>14</v>
      </c>
      <c r="B15" t="s">
        <v>56</v>
      </c>
      <c r="C15" t="s">
        <v>74</v>
      </c>
      <c r="D15" t="s">
        <v>55</v>
      </c>
      <c r="E15" t="s">
        <v>45</v>
      </c>
      <c r="F15" t="s">
        <v>43</v>
      </c>
      <c r="G15" s="10">
        <v>25000</v>
      </c>
      <c r="H15" s="10">
        <f>Table1[[#This Row],[Price (USD)]]*0.2</f>
        <v>5000</v>
      </c>
    </row>
    <row r="16" spans="1:8" x14ac:dyDescent="0.25">
      <c r="A16">
        <v>15</v>
      </c>
      <c r="B16" t="s">
        <v>58</v>
      </c>
      <c r="C16" t="s">
        <v>75</v>
      </c>
      <c r="D16" t="s">
        <v>41</v>
      </c>
      <c r="E16" t="s">
        <v>48</v>
      </c>
      <c r="F16" t="s">
        <v>43</v>
      </c>
      <c r="G16" s="10">
        <v>24000</v>
      </c>
      <c r="H16" s="10">
        <f>Table1[[#This Row],[Price (USD)]]*0.1</f>
        <v>2400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D0F2-E9F5-4ED7-BC08-2FFAF8BAEE9C}">
  <dimension ref="A1:L220"/>
  <sheetViews>
    <sheetView zoomScale="70" zoomScaleNormal="70" workbookViewId="0">
      <selection activeCell="H2" sqref="H2"/>
    </sheetView>
  </sheetViews>
  <sheetFormatPr defaultRowHeight="15" x14ac:dyDescent="0.25"/>
  <cols>
    <col min="1" max="1" width="12.42578125" bestFit="1" customWidth="1"/>
    <col min="2" max="2" width="12" bestFit="1" customWidth="1"/>
    <col min="3" max="3" width="14.5703125" bestFit="1" customWidth="1"/>
    <col min="4" max="4" width="14" bestFit="1" customWidth="1"/>
    <col min="5" max="5" width="14.5703125" bestFit="1" customWidth="1"/>
    <col min="6" max="6" width="16.7109375" style="11" bestFit="1" customWidth="1"/>
    <col min="7" max="7" width="17.42578125" style="11" bestFit="1" customWidth="1"/>
    <col min="8" max="8" width="25" customWidth="1"/>
    <col min="9" max="9" width="15.42578125" customWidth="1"/>
    <col min="10" max="10" width="21.42578125" customWidth="1"/>
    <col min="11" max="11" width="17.85546875" bestFit="1" customWidth="1"/>
    <col min="12" max="12" width="23" bestFit="1" customWidth="1"/>
  </cols>
  <sheetData>
    <row r="1" spans="1:12" x14ac:dyDescent="0.25">
      <c r="A1" t="s">
        <v>7</v>
      </c>
      <c r="B1" t="s">
        <v>8</v>
      </c>
      <c r="C1" t="s">
        <v>4</v>
      </c>
      <c r="D1" t="s">
        <v>6</v>
      </c>
      <c r="E1" t="s">
        <v>9</v>
      </c>
      <c r="F1" s="11" t="s">
        <v>10</v>
      </c>
      <c r="G1" s="11" t="s">
        <v>16</v>
      </c>
      <c r="H1" t="s">
        <v>3</v>
      </c>
      <c r="I1" t="s">
        <v>80</v>
      </c>
      <c r="J1" t="s">
        <v>81</v>
      </c>
      <c r="K1" t="s">
        <v>2</v>
      </c>
      <c r="L1" t="s">
        <v>82</v>
      </c>
    </row>
    <row r="2" spans="1:12" x14ac:dyDescent="0.25">
      <c r="A2">
        <v>1</v>
      </c>
      <c r="B2" s="1">
        <v>44566</v>
      </c>
      <c r="C2">
        <f ca="1">RANDBETWEEN(1,10)</f>
        <v>9</v>
      </c>
      <c r="D2">
        <f ca="1">RANDBETWEEN(1,15)</f>
        <v>15</v>
      </c>
      <c r="E2">
        <v>1</v>
      </c>
      <c r="F2" s="10">
        <f ca="1">Table2[[#This Row],[Quantity]]*(INDEX(Models!G:G,MATCH(Table2[[#This Row],[ModelID]],Models!A:A,0)))</f>
        <v>24000</v>
      </c>
      <c r="G2" s="10">
        <f ca="1">Table2[[#This Row],[Quantity]]*(INDEX(Models!H:H,MATCH(Table2[[#This Row],[ModelID]],Models!A:A,0)))</f>
        <v>2400</v>
      </c>
      <c r="H2" t="str">
        <f ca="1">VLOOKUP(Table2[[#This Row],[DealerID]], Dealers!A:D, 4,FALSE)</f>
        <v xml:space="preserve"> Philippines  </v>
      </c>
      <c r="I2" t="str">
        <f ca="1">VLOOKUP(Table2[[#This Row],[ModelID]],Models!A:C,3,FALSE)</f>
        <v xml:space="preserve"> Mazda3          </v>
      </c>
      <c r="J2" s="5" t="str">
        <f ca="1">VLOOKUP(Table2[[#This Row],[ModelID]],Models!A:C,2,FALSE)</f>
        <v xml:space="preserve"> Mazda      </v>
      </c>
      <c r="K2" s="5" t="str">
        <f ca="1">VLOOKUP(Table2[[#This Row],[DealerID]], Dealers!A:D, 3,FALSE)</f>
        <v xml:space="preserve"> Iloilo City    </v>
      </c>
      <c r="L2" s="5" t="str">
        <f ca="1">VLOOKUP(Table2[[#This Row],[DealerID]], Dealers!A:D, 2,FALSE)</f>
        <v xml:space="preserve"> Iloilo Motors    </v>
      </c>
    </row>
    <row r="3" spans="1:12" x14ac:dyDescent="0.25">
      <c r="A3">
        <v>2</v>
      </c>
      <c r="B3" s="1">
        <v>44569</v>
      </c>
      <c r="C3">
        <f t="shared" ref="C3:C66" ca="1" si="0">RANDBETWEEN(1,10)</f>
        <v>1</v>
      </c>
      <c r="D3">
        <f t="shared" ref="D3:D66" ca="1" si="1">RANDBETWEEN(1,15)</f>
        <v>12</v>
      </c>
      <c r="E3">
        <v>1</v>
      </c>
      <c r="F3" s="10">
        <f ca="1">Table2[[#This Row],[Quantity]]*(INDEX(Models!G:G,MATCH(Table2[[#This Row],[ModelID]],Models!A:A,0)))</f>
        <v>34000</v>
      </c>
      <c r="G3" s="10">
        <f ca="1">Table2[[#This Row],[Quantity]]*(INDEX(Models!H:H,MATCH(Table2[[#This Row],[ModelID]],Models!A:A,0)))</f>
        <v>3400</v>
      </c>
      <c r="H3" t="str">
        <f ca="1">VLOOKUP(Table2[[#This Row],[DealerID]], Dealers!A:D, 4,FALSE)</f>
        <v xml:space="preserve"> Malaysia     </v>
      </c>
      <c r="I3" t="str">
        <f ca="1">VLOOKUP(Table2[[#This Row],[ModelID]],Models!A:C,3,FALSE)</f>
        <v xml:space="preserve"> Santa Fe        </v>
      </c>
      <c r="J3" s="5" t="str">
        <f ca="1">VLOOKUP(Table2[[#This Row],[ModelID]],Models!A:C,2,FALSE)</f>
        <v xml:space="preserve"> Hyundai    </v>
      </c>
      <c r="K3" s="5" t="str">
        <f ca="1">VLOOKUP(Table2[[#This Row],[DealerID]], Dealers!A:D, 3,FALSE)</f>
        <v xml:space="preserve"> Kuala Lumpur   </v>
      </c>
      <c r="L3" s="5" t="str">
        <f ca="1">VLOOKUP(Table2[[#This Row],[DealerID]], Dealers!A:D, 2,FALSE)</f>
        <v xml:space="preserve"> ABC Motors       </v>
      </c>
    </row>
    <row r="4" spans="1:12" x14ac:dyDescent="0.25">
      <c r="A4">
        <v>3</v>
      </c>
      <c r="B4" s="1">
        <v>44604</v>
      </c>
      <c r="C4">
        <f t="shared" ca="1" si="0"/>
        <v>1</v>
      </c>
      <c r="D4">
        <f t="shared" ca="1" si="1"/>
        <v>8</v>
      </c>
      <c r="E4">
        <v>2</v>
      </c>
      <c r="F4" s="10">
        <f ca="1">Table2[[#This Row],[Quantity]]*(INDEX(Models!G:G,MATCH(Table2[[#This Row],[ModelID]],Models!A:A,0)))</f>
        <v>52000</v>
      </c>
      <c r="G4" s="10">
        <f ca="1">Table2[[#This Row],[Quantity]]*(INDEX(Models!H:H,MATCH(Table2[[#This Row],[ModelID]],Models!A:A,0)))</f>
        <v>5200</v>
      </c>
      <c r="H4" t="str">
        <f ca="1">VLOOKUP(Table2[[#This Row],[DealerID]], Dealers!A:D, 4,FALSE)</f>
        <v xml:space="preserve"> Malaysia     </v>
      </c>
      <c r="I4" t="str">
        <f ca="1">VLOOKUP(Table2[[#This Row],[ModelID]],Models!A:C,3,FALSE)</f>
        <v xml:space="preserve"> X-Trail         </v>
      </c>
      <c r="J4" s="5" t="str">
        <f ca="1">VLOOKUP(Table2[[#This Row],[ModelID]],Models!A:C,2,FALSE)</f>
        <v xml:space="preserve"> Nissan     </v>
      </c>
      <c r="K4" s="5" t="str">
        <f ca="1">VLOOKUP(Table2[[#This Row],[DealerID]], Dealers!A:D, 3,FALSE)</f>
        <v xml:space="preserve"> Kuala Lumpur   </v>
      </c>
      <c r="L4" s="5" t="str">
        <f ca="1">VLOOKUP(Table2[[#This Row],[DealerID]], Dealers!A:D, 2,FALSE)</f>
        <v xml:space="preserve"> ABC Motors       </v>
      </c>
    </row>
    <row r="5" spans="1:12" x14ac:dyDescent="0.25">
      <c r="A5">
        <v>4</v>
      </c>
      <c r="B5" s="1">
        <v>44614</v>
      </c>
      <c r="C5">
        <f t="shared" ca="1" si="0"/>
        <v>6</v>
      </c>
      <c r="D5">
        <f t="shared" ca="1" si="1"/>
        <v>6</v>
      </c>
      <c r="E5">
        <v>1</v>
      </c>
      <c r="F5" s="10">
        <f ca="1">Table2[[#This Row],[Quantity]]*(INDEX(Models!G:G,MATCH(Table2[[#This Row],[ModelID]],Models!A:A,0)))</f>
        <v>30000</v>
      </c>
      <c r="G5" s="10">
        <f ca="1">Table2[[#This Row],[Quantity]]*(INDEX(Models!H:H,MATCH(Table2[[#This Row],[ModelID]],Models!A:A,0)))</f>
        <v>3000</v>
      </c>
      <c r="H5" t="str">
        <f ca="1">VLOOKUP(Table2[[#This Row],[DealerID]], Dealers!A:D, 4,FALSE)</f>
        <v xml:space="preserve"> Philippines  </v>
      </c>
      <c r="I5" t="str">
        <f ca="1">VLOOKUP(Table2[[#This Row],[ModelID]],Models!A:C,3,FALSE)</f>
        <v xml:space="preserve"> Everest         </v>
      </c>
      <c r="J5" s="5" t="str">
        <f ca="1">VLOOKUP(Table2[[#This Row],[ModelID]],Models!A:C,2,FALSE)</f>
        <v xml:space="preserve"> Ford       </v>
      </c>
      <c r="K5" s="5" t="str">
        <f ca="1">VLOOKUP(Table2[[#This Row],[DealerID]], Dealers!A:D, 3,FALSE)</f>
        <v xml:space="preserve"> Davao City     </v>
      </c>
      <c r="L5" s="5" t="str">
        <f ca="1">VLOOKUP(Table2[[#This Row],[DealerID]], Dealers!A:D, 2,FALSE)</f>
        <v xml:space="preserve"> Davao Dealers    </v>
      </c>
    </row>
    <row r="6" spans="1:12" x14ac:dyDescent="0.25">
      <c r="A6">
        <v>5</v>
      </c>
      <c r="B6" s="1">
        <v>44621</v>
      </c>
      <c r="C6">
        <f t="shared" ca="1" si="0"/>
        <v>9</v>
      </c>
      <c r="D6">
        <f t="shared" ca="1" si="1"/>
        <v>3</v>
      </c>
      <c r="E6">
        <v>3</v>
      </c>
      <c r="F6" s="10">
        <f ca="1">Table2[[#This Row],[Quantity]]*(INDEX(Models!G:G,MATCH(Table2[[#This Row],[ModelID]],Models!A:A,0)))</f>
        <v>66000</v>
      </c>
      <c r="G6" s="10">
        <f ca="1">Table2[[#This Row],[Quantity]]*(INDEX(Models!H:H,MATCH(Table2[[#This Row],[ModelID]],Models!A:A,0)))</f>
        <v>13200</v>
      </c>
      <c r="H6" t="str">
        <f ca="1">VLOOKUP(Table2[[#This Row],[DealerID]], Dealers!A:D, 4,FALSE)</f>
        <v xml:space="preserve"> Philippines  </v>
      </c>
      <c r="I6" t="str">
        <f ca="1">VLOOKUP(Table2[[#This Row],[ModelID]],Models!A:C,3,FALSE)</f>
        <v xml:space="preserve"> Civic           </v>
      </c>
      <c r="J6" s="5" t="str">
        <f ca="1">VLOOKUP(Table2[[#This Row],[ModelID]],Models!A:C,2,FALSE)</f>
        <v xml:space="preserve"> Honda      </v>
      </c>
      <c r="K6" s="5" t="str">
        <f ca="1">VLOOKUP(Table2[[#This Row],[DealerID]], Dealers!A:D, 3,FALSE)</f>
        <v xml:space="preserve"> Iloilo City    </v>
      </c>
      <c r="L6" s="5" t="str">
        <f ca="1">VLOOKUP(Table2[[#This Row],[DealerID]], Dealers!A:D, 2,FALSE)</f>
        <v xml:space="preserve"> Iloilo Motors    </v>
      </c>
    </row>
    <row r="7" spans="1:12" x14ac:dyDescent="0.25">
      <c r="A7">
        <v>6</v>
      </c>
      <c r="B7" s="1">
        <v>44628</v>
      </c>
      <c r="C7">
        <f t="shared" ca="1" si="0"/>
        <v>6</v>
      </c>
      <c r="D7">
        <f t="shared" ca="1" si="1"/>
        <v>11</v>
      </c>
      <c r="E7">
        <v>1</v>
      </c>
      <c r="F7" s="10">
        <f ca="1">Table2[[#This Row],[Quantity]]*(INDEX(Models!G:G,MATCH(Table2[[#This Row],[ModelID]],Models!A:A,0)))</f>
        <v>16000</v>
      </c>
      <c r="G7" s="10">
        <f ca="1">Table2[[#This Row],[Quantity]]*(INDEX(Models!H:H,MATCH(Table2[[#This Row],[ModelID]],Models!A:A,0)))</f>
        <v>3200</v>
      </c>
      <c r="H7" t="str">
        <f ca="1">VLOOKUP(Table2[[#This Row],[DealerID]], Dealers!A:D, 4,FALSE)</f>
        <v xml:space="preserve"> Philippines  </v>
      </c>
      <c r="I7" t="str">
        <f ca="1">VLOOKUP(Table2[[#This Row],[ModelID]],Models!A:C,3,FALSE)</f>
        <v xml:space="preserve"> Accent          </v>
      </c>
      <c r="J7" s="5" t="str">
        <f ca="1">VLOOKUP(Table2[[#This Row],[ModelID]],Models!A:C,2,FALSE)</f>
        <v xml:space="preserve"> Hyundai    </v>
      </c>
      <c r="K7" s="5" t="str">
        <f ca="1">VLOOKUP(Table2[[#This Row],[DealerID]], Dealers!A:D, 3,FALSE)</f>
        <v xml:space="preserve"> Davao City     </v>
      </c>
      <c r="L7" s="5" t="str">
        <f ca="1">VLOOKUP(Table2[[#This Row],[DealerID]], Dealers!A:D, 2,FALSE)</f>
        <v xml:space="preserve"> Davao Dealers    </v>
      </c>
    </row>
    <row r="8" spans="1:12" x14ac:dyDescent="0.25">
      <c r="A8">
        <v>7</v>
      </c>
      <c r="B8" s="1">
        <v>44629</v>
      </c>
      <c r="C8">
        <f t="shared" ca="1" si="0"/>
        <v>8</v>
      </c>
      <c r="D8">
        <f t="shared" ca="1" si="1"/>
        <v>9</v>
      </c>
      <c r="E8">
        <v>2</v>
      </c>
      <c r="F8" s="10">
        <f ca="1">Table2[[#This Row],[Quantity]]*(INDEX(Models!G:G,MATCH(Table2[[#This Row],[ModelID]],Models!A:A,0)))</f>
        <v>36000</v>
      </c>
      <c r="G8" s="10">
        <f ca="1">Table2[[#This Row],[Quantity]]*(INDEX(Models!H:H,MATCH(Table2[[#This Row],[ModelID]],Models!A:A,0)))</f>
        <v>3600</v>
      </c>
      <c r="H8" t="str">
        <f ca="1">VLOOKUP(Table2[[#This Row],[DealerID]], Dealers!A:D, 4,FALSE)</f>
        <v xml:space="preserve"> Philippines  </v>
      </c>
      <c r="I8" t="str">
        <f ca="1">VLOOKUP(Table2[[#This Row],[ModelID]],Models!A:C,3,FALSE)</f>
        <v xml:space="preserve"> Xpander         </v>
      </c>
      <c r="J8" s="5" t="str">
        <f ca="1">VLOOKUP(Table2[[#This Row],[ModelID]],Models!A:C,2,FALSE)</f>
        <v xml:space="preserve"> Mitsubishi </v>
      </c>
      <c r="K8" s="5" t="str">
        <f ca="1">VLOOKUP(Table2[[#This Row],[DealerID]], Dealers!A:D, 3,FALSE)</f>
        <v xml:space="preserve"> Bacolod City   </v>
      </c>
      <c r="L8" s="5" t="str">
        <f ca="1">VLOOKUP(Table2[[#This Row],[DealerID]], Dealers!A:D, 2,FALSE)</f>
        <v xml:space="preserve"> Bacolod Autos    </v>
      </c>
    </row>
    <row r="9" spans="1:12" x14ac:dyDescent="0.25">
      <c r="A9">
        <v>8</v>
      </c>
      <c r="B9" s="1">
        <v>44630</v>
      </c>
      <c r="C9">
        <f t="shared" ca="1" si="0"/>
        <v>3</v>
      </c>
      <c r="D9">
        <f t="shared" ca="1" si="1"/>
        <v>12</v>
      </c>
      <c r="E9">
        <v>1</v>
      </c>
      <c r="F9" s="10">
        <f ca="1">Table2[[#This Row],[Quantity]]*(INDEX(Models!G:G,MATCH(Table2[[#This Row],[ModelID]],Models!A:A,0)))</f>
        <v>34000</v>
      </c>
      <c r="G9" s="10">
        <f ca="1">Table2[[#This Row],[Quantity]]*(INDEX(Models!H:H,MATCH(Table2[[#This Row],[ModelID]],Models!A:A,0)))</f>
        <v>3400</v>
      </c>
      <c r="H9" t="str">
        <f ca="1">VLOOKUP(Table2[[#This Row],[DealerID]], Dealers!A:D, 4,FALSE)</f>
        <v xml:space="preserve"> Singapore    </v>
      </c>
      <c r="I9" t="str">
        <f ca="1">VLOOKUP(Table2[[#This Row],[ModelID]],Models!A:C,3,FALSE)</f>
        <v xml:space="preserve"> Santa Fe        </v>
      </c>
      <c r="J9" s="5" t="str">
        <f ca="1">VLOOKUP(Table2[[#This Row],[ModelID]],Models!A:C,2,FALSE)</f>
        <v xml:space="preserve"> Hyundai    </v>
      </c>
      <c r="K9" s="5" t="str">
        <f ca="1">VLOOKUP(Table2[[#This Row],[DealerID]], Dealers!A:D, 3,FALSE)</f>
        <v xml:space="preserve"> Singapore      </v>
      </c>
      <c r="L9" s="5" t="str">
        <f ca="1">VLOOKUP(Table2[[#This Row],[DealerID]], Dealers!A:D, 2,FALSE)</f>
        <v xml:space="preserve"> Singapore Autos  </v>
      </c>
    </row>
    <row r="10" spans="1:12" x14ac:dyDescent="0.25">
      <c r="A10">
        <v>9</v>
      </c>
      <c r="B10" s="1">
        <v>44631</v>
      </c>
      <c r="C10">
        <f t="shared" ca="1" si="0"/>
        <v>10</v>
      </c>
      <c r="D10">
        <f t="shared" ca="1" si="1"/>
        <v>4</v>
      </c>
      <c r="E10">
        <v>1</v>
      </c>
      <c r="F10" s="10">
        <f ca="1">Table2[[#This Row],[Quantity]]*(INDEX(Models!G:G,MATCH(Table2[[#This Row],[ModelID]],Models!A:A,0)))</f>
        <v>28000</v>
      </c>
      <c r="G10" s="10">
        <f ca="1">Table2[[#This Row],[Quantity]]*(INDEX(Models!H:H,MATCH(Table2[[#This Row],[ModelID]],Models!A:A,0)))</f>
        <v>2800</v>
      </c>
      <c r="H10" t="str">
        <f ca="1">VLOOKUP(Table2[[#This Row],[DealerID]], Dealers!A:D, 4,FALSE)</f>
        <v xml:space="preserve"> Philippines  </v>
      </c>
      <c r="I10" t="str">
        <f ca="1">VLOOKUP(Table2[[#This Row],[ModelID]],Models!A:C,3,FALSE)</f>
        <v xml:space="preserve"> CR-V            </v>
      </c>
      <c r="J10" s="5" t="str">
        <f ca="1">VLOOKUP(Table2[[#This Row],[ModelID]],Models!A:C,2,FALSE)</f>
        <v xml:space="preserve"> Honda      </v>
      </c>
      <c r="K10" s="5" t="str">
        <f ca="1">VLOOKUP(Table2[[#This Row],[DealerID]], Dealers!A:D, 3,FALSE)</f>
        <v xml:space="preserve"> Zamboanga City </v>
      </c>
      <c r="L10" s="5" t="str">
        <f ca="1">VLOOKUP(Table2[[#This Row],[DealerID]], Dealers!A:D, 2,FALSE)</f>
        <v xml:space="preserve"> Zamboanga Cars   </v>
      </c>
    </row>
    <row r="11" spans="1:12" x14ac:dyDescent="0.25">
      <c r="A11">
        <v>10</v>
      </c>
      <c r="B11" s="1">
        <v>44632</v>
      </c>
      <c r="C11">
        <f t="shared" ca="1" si="0"/>
        <v>9</v>
      </c>
      <c r="D11">
        <f t="shared" ca="1" si="1"/>
        <v>3</v>
      </c>
      <c r="E11">
        <v>2</v>
      </c>
      <c r="F11" s="10">
        <f ca="1">Table2[[#This Row],[Quantity]]*(INDEX(Models!G:G,MATCH(Table2[[#This Row],[ModelID]],Models!A:A,0)))</f>
        <v>44000</v>
      </c>
      <c r="G11" s="10">
        <f ca="1">Table2[[#This Row],[Quantity]]*(INDEX(Models!H:H,MATCH(Table2[[#This Row],[ModelID]],Models!A:A,0)))</f>
        <v>8800</v>
      </c>
      <c r="H11" t="str">
        <f ca="1">VLOOKUP(Table2[[#This Row],[DealerID]], Dealers!A:D, 4,FALSE)</f>
        <v xml:space="preserve"> Philippines  </v>
      </c>
      <c r="I11" t="str">
        <f ca="1">VLOOKUP(Table2[[#This Row],[ModelID]],Models!A:C,3,FALSE)</f>
        <v xml:space="preserve"> Civic           </v>
      </c>
      <c r="J11" s="5" t="str">
        <f ca="1">VLOOKUP(Table2[[#This Row],[ModelID]],Models!A:C,2,FALSE)</f>
        <v xml:space="preserve"> Honda      </v>
      </c>
      <c r="K11" s="5" t="str">
        <f ca="1">VLOOKUP(Table2[[#This Row],[DealerID]], Dealers!A:D, 3,FALSE)</f>
        <v xml:space="preserve"> Iloilo City    </v>
      </c>
      <c r="L11" s="5" t="str">
        <f ca="1">VLOOKUP(Table2[[#This Row],[DealerID]], Dealers!A:D, 2,FALSE)</f>
        <v xml:space="preserve"> Iloilo Motors    </v>
      </c>
    </row>
    <row r="12" spans="1:12" x14ac:dyDescent="0.25">
      <c r="A12">
        <v>11</v>
      </c>
      <c r="B12" s="1">
        <v>44635</v>
      </c>
      <c r="C12">
        <f t="shared" ca="1" si="0"/>
        <v>10</v>
      </c>
      <c r="D12">
        <f t="shared" ca="1" si="1"/>
        <v>2</v>
      </c>
      <c r="E12">
        <v>1</v>
      </c>
      <c r="F12" s="10">
        <f ca="1">Table2[[#This Row],[Quantity]]*(INDEX(Models!G:G,MATCH(Table2[[#This Row],[ModelID]],Models!A:A,0)))</f>
        <v>20000</v>
      </c>
      <c r="G12" s="10">
        <f ca="1">Table2[[#This Row],[Quantity]]*(INDEX(Models!H:H,MATCH(Table2[[#This Row],[ModelID]],Models!A:A,0)))</f>
        <v>2000</v>
      </c>
      <c r="H12" t="str">
        <f ca="1">VLOOKUP(Table2[[#This Row],[DealerID]], Dealers!A:D, 4,FALSE)</f>
        <v xml:space="preserve"> Philippines  </v>
      </c>
      <c r="I12" t="str">
        <f ca="1">VLOOKUP(Table2[[#This Row],[ModelID]],Models!A:C,3,FALSE)</f>
        <v xml:space="preserve"> Corolla Altis   </v>
      </c>
      <c r="J12" s="5" t="str">
        <f ca="1">VLOOKUP(Table2[[#This Row],[ModelID]],Models!A:C,2,FALSE)</f>
        <v xml:space="preserve"> Toyota     </v>
      </c>
      <c r="K12" s="5" t="str">
        <f ca="1">VLOOKUP(Table2[[#This Row],[DealerID]], Dealers!A:D, 3,FALSE)</f>
        <v xml:space="preserve"> Zamboanga City </v>
      </c>
      <c r="L12" s="5" t="str">
        <f ca="1">VLOOKUP(Table2[[#This Row],[DealerID]], Dealers!A:D, 2,FALSE)</f>
        <v xml:space="preserve"> Zamboanga Cars   </v>
      </c>
    </row>
    <row r="13" spans="1:12" x14ac:dyDescent="0.25">
      <c r="A13">
        <v>12</v>
      </c>
      <c r="B13" s="1">
        <v>44636</v>
      </c>
      <c r="C13">
        <f t="shared" ca="1" si="0"/>
        <v>6</v>
      </c>
      <c r="D13">
        <f t="shared" ca="1" si="1"/>
        <v>15</v>
      </c>
      <c r="E13">
        <v>1</v>
      </c>
      <c r="F13" s="10">
        <f ca="1">Table2[[#This Row],[Quantity]]*(INDEX(Models!G:G,MATCH(Table2[[#This Row],[ModelID]],Models!A:A,0)))</f>
        <v>24000</v>
      </c>
      <c r="G13" s="10">
        <f ca="1">Table2[[#This Row],[Quantity]]*(INDEX(Models!H:H,MATCH(Table2[[#This Row],[ModelID]],Models!A:A,0)))</f>
        <v>2400</v>
      </c>
      <c r="H13" t="str">
        <f ca="1">VLOOKUP(Table2[[#This Row],[DealerID]], Dealers!A:D, 4,FALSE)</f>
        <v xml:space="preserve"> Philippines  </v>
      </c>
      <c r="I13" t="str">
        <f ca="1">VLOOKUP(Table2[[#This Row],[ModelID]],Models!A:C,3,FALSE)</f>
        <v xml:space="preserve"> Mazda3          </v>
      </c>
      <c r="J13" s="5" t="str">
        <f ca="1">VLOOKUP(Table2[[#This Row],[ModelID]],Models!A:C,2,FALSE)</f>
        <v xml:space="preserve"> Mazda      </v>
      </c>
      <c r="K13" s="5" t="str">
        <f ca="1">VLOOKUP(Table2[[#This Row],[DealerID]], Dealers!A:D, 3,FALSE)</f>
        <v xml:space="preserve"> Davao City     </v>
      </c>
      <c r="L13" s="5" t="str">
        <f ca="1">VLOOKUP(Table2[[#This Row],[DealerID]], Dealers!A:D, 2,FALSE)</f>
        <v xml:space="preserve"> Davao Dealers    </v>
      </c>
    </row>
    <row r="14" spans="1:12" x14ac:dyDescent="0.25">
      <c r="A14">
        <v>13</v>
      </c>
      <c r="B14" s="1">
        <v>44637</v>
      </c>
      <c r="C14">
        <f t="shared" ca="1" si="0"/>
        <v>8</v>
      </c>
      <c r="D14">
        <f t="shared" ca="1" si="1"/>
        <v>2</v>
      </c>
      <c r="E14">
        <v>2</v>
      </c>
      <c r="F14" s="10">
        <f ca="1">Table2[[#This Row],[Quantity]]*(INDEX(Models!G:G,MATCH(Table2[[#This Row],[ModelID]],Models!A:A,0)))</f>
        <v>40000</v>
      </c>
      <c r="G14" s="10">
        <f ca="1">Table2[[#This Row],[Quantity]]*(INDEX(Models!H:H,MATCH(Table2[[#This Row],[ModelID]],Models!A:A,0)))</f>
        <v>4000</v>
      </c>
      <c r="H14" t="str">
        <f ca="1">VLOOKUP(Table2[[#This Row],[DealerID]], Dealers!A:D, 4,FALSE)</f>
        <v xml:space="preserve"> Philippines  </v>
      </c>
      <c r="I14" t="str">
        <f ca="1">VLOOKUP(Table2[[#This Row],[ModelID]],Models!A:C,3,FALSE)</f>
        <v xml:space="preserve"> Corolla Altis   </v>
      </c>
      <c r="J14" s="5" t="str">
        <f ca="1">VLOOKUP(Table2[[#This Row],[ModelID]],Models!A:C,2,FALSE)</f>
        <v xml:space="preserve"> Toyota     </v>
      </c>
      <c r="K14" s="5" t="str">
        <f ca="1">VLOOKUP(Table2[[#This Row],[DealerID]], Dealers!A:D, 3,FALSE)</f>
        <v xml:space="preserve"> Bacolod City   </v>
      </c>
      <c r="L14" s="5" t="str">
        <f ca="1">VLOOKUP(Table2[[#This Row],[DealerID]], Dealers!A:D, 2,FALSE)</f>
        <v xml:space="preserve"> Bacolod Autos    </v>
      </c>
    </row>
    <row r="15" spans="1:12" x14ac:dyDescent="0.25">
      <c r="A15">
        <v>14</v>
      </c>
      <c r="B15" s="1">
        <v>44638</v>
      </c>
      <c r="C15">
        <f t="shared" ca="1" si="0"/>
        <v>9</v>
      </c>
      <c r="D15">
        <f t="shared" ca="1" si="1"/>
        <v>2</v>
      </c>
      <c r="E15">
        <v>1</v>
      </c>
      <c r="F15" s="10">
        <f ca="1">Table2[[#This Row],[Quantity]]*(INDEX(Models!G:G,MATCH(Table2[[#This Row],[ModelID]],Models!A:A,0)))</f>
        <v>20000</v>
      </c>
      <c r="G15" s="10">
        <f ca="1">Table2[[#This Row],[Quantity]]*(INDEX(Models!H:H,MATCH(Table2[[#This Row],[ModelID]],Models!A:A,0)))</f>
        <v>2000</v>
      </c>
      <c r="H15" t="str">
        <f ca="1">VLOOKUP(Table2[[#This Row],[DealerID]], Dealers!A:D, 4,FALSE)</f>
        <v xml:space="preserve"> Philippines  </v>
      </c>
      <c r="I15" t="str">
        <f ca="1">VLOOKUP(Table2[[#This Row],[ModelID]],Models!A:C,3,FALSE)</f>
        <v xml:space="preserve"> Corolla Altis   </v>
      </c>
      <c r="J15" s="5" t="str">
        <f ca="1">VLOOKUP(Table2[[#This Row],[ModelID]],Models!A:C,2,FALSE)</f>
        <v xml:space="preserve"> Toyota     </v>
      </c>
      <c r="K15" s="5" t="str">
        <f ca="1">VLOOKUP(Table2[[#This Row],[DealerID]], Dealers!A:D, 3,FALSE)</f>
        <v xml:space="preserve"> Iloilo City    </v>
      </c>
      <c r="L15" s="5" t="str">
        <f ca="1">VLOOKUP(Table2[[#This Row],[DealerID]], Dealers!A:D, 2,FALSE)</f>
        <v xml:space="preserve"> Iloilo Motors    </v>
      </c>
    </row>
    <row r="16" spans="1:12" x14ac:dyDescent="0.25">
      <c r="A16">
        <v>15</v>
      </c>
      <c r="B16" s="1">
        <v>44639</v>
      </c>
      <c r="C16">
        <f t="shared" ca="1" si="0"/>
        <v>4</v>
      </c>
      <c r="D16">
        <f t="shared" ca="1" si="1"/>
        <v>4</v>
      </c>
      <c r="E16">
        <v>2</v>
      </c>
      <c r="F16" s="10">
        <f ca="1">Table2[[#This Row],[Quantity]]*(INDEX(Models!G:G,MATCH(Table2[[#This Row],[ModelID]],Models!A:A,0)))</f>
        <v>56000</v>
      </c>
      <c r="G16" s="10">
        <f ca="1">Table2[[#This Row],[Quantity]]*(INDEX(Models!H:H,MATCH(Table2[[#This Row],[ModelID]],Models!A:A,0)))</f>
        <v>5600</v>
      </c>
      <c r="H16" t="str">
        <f ca="1">VLOOKUP(Table2[[#This Row],[DealerID]], Dealers!A:D, 4,FALSE)</f>
        <v xml:space="preserve"> Philippines  </v>
      </c>
      <c r="I16" t="str">
        <f ca="1">VLOOKUP(Table2[[#This Row],[ModelID]],Models!A:C,3,FALSE)</f>
        <v xml:space="preserve"> CR-V            </v>
      </c>
      <c r="J16" s="5" t="str">
        <f ca="1">VLOOKUP(Table2[[#This Row],[ModelID]],Models!A:C,2,FALSE)</f>
        <v xml:space="preserve"> Honda      </v>
      </c>
      <c r="K16" s="5" t="str">
        <f ca="1">VLOOKUP(Table2[[#This Row],[DealerID]], Dealers!A:D, 3,FALSE)</f>
        <v xml:space="preserve"> Manila         </v>
      </c>
      <c r="L16" s="5" t="str">
        <f ca="1">VLOOKUP(Table2[[#This Row],[DealerID]], Dealers!A:D, 2,FALSE)</f>
        <v xml:space="preserve"> Manila Motors    </v>
      </c>
    </row>
    <row r="17" spans="1:12" x14ac:dyDescent="0.25">
      <c r="A17">
        <v>16</v>
      </c>
      <c r="B17" s="1">
        <v>44642</v>
      </c>
      <c r="C17">
        <f t="shared" ca="1" si="0"/>
        <v>9</v>
      </c>
      <c r="D17">
        <f t="shared" ca="1" si="1"/>
        <v>4</v>
      </c>
      <c r="E17">
        <v>1</v>
      </c>
      <c r="F17" s="10">
        <f ca="1">Table2[[#This Row],[Quantity]]*(INDEX(Models!G:G,MATCH(Table2[[#This Row],[ModelID]],Models!A:A,0)))</f>
        <v>28000</v>
      </c>
      <c r="G17" s="10">
        <f ca="1">Table2[[#This Row],[Quantity]]*(INDEX(Models!H:H,MATCH(Table2[[#This Row],[ModelID]],Models!A:A,0)))</f>
        <v>2800</v>
      </c>
      <c r="H17" t="str">
        <f ca="1">VLOOKUP(Table2[[#This Row],[DealerID]], Dealers!A:D, 4,FALSE)</f>
        <v xml:space="preserve"> Philippines  </v>
      </c>
      <c r="I17" t="str">
        <f ca="1">VLOOKUP(Table2[[#This Row],[ModelID]],Models!A:C,3,FALSE)</f>
        <v xml:space="preserve"> CR-V            </v>
      </c>
      <c r="J17" s="5" t="str">
        <f ca="1">VLOOKUP(Table2[[#This Row],[ModelID]],Models!A:C,2,FALSE)</f>
        <v xml:space="preserve"> Honda      </v>
      </c>
      <c r="K17" s="5" t="str">
        <f ca="1">VLOOKUP(Table2[[#This Row],[DealerID]], Dealers!A:D, 3,FALSE)</f>
        <v xml:space="preserve"> Iloilo City    </v>
      </c>
      <c r="L17" s="5" t="str">
        <f ca="1">VLOOKUP(Table2[[#This Row],[DealerID]], Dealers!A:D, 2,FALSE)</f>
        <v xml:space="preserve"> Iloilo Motors    </v>
      </c>
    </row>
    <row r="18" spans="1:12" x14ac:dyDescent="0.25">
      <c r="A18">
        <v>17</v>
      </c>
      <c r="B18" s="1">
        <v>44643</v>
      </c>
      <c r="C18">
        <f t="shared" ca="1" si="0"/>
        <v>7</v>
      </c>
      <c r="D18">
        <f t="shared" ca="1" si="1"/>
        <v>3</v>
      </c>
      <c r="E18">
        <v>1</v>
      </c>
      <c r="F18" s="10">
        <f ca="1">Table2[[#This Row],[Quantity]]*(INDEX(Models!G:G,MATCH(Table2[[#This Row],[ModelID]],Models!A:A,0)))</f>
        <v>22000</v>
      </c>
      <c r="G18" s="10">
        <f ca="1">Table2[[#This Row],[Quantity]]*(INDEX(Models!H:H,MATCH(Table2[[#This Row],[ModelID]],Models!A:A,0)))</f>
        <v>4400</v>
      </c>
      <c r="H18" t="str">
        <f ca="1">VLOOKUP(Table2[[#This Row],[DealerID]], Dealers!A:D, 4,FALSE)</f>
        <v xml:space="preserve"> Philippines  </v>
      </c>
      <c r="I18" t="str">
        <f ca="1">VLOOKUP(Table2[[#This Row],[ModelID]],Models!A:C,3,FALSE)</f>
        <v xml:space="preserve"> Civic           </v>
      </c>
      <c r="J18" s="5" t="str">
        <f ca="1">VLOOKUP(Table2[[#This Row],[ModelID]],Models!A:C,2,FALSE)</f>
        <v xml:space="preserve"> Honda      </v>
      </c>
      <c r="K18" s="5" t="str">
        <f ca="1">VLOOKUP(Table2[[#This Row],[DealerID]], Dealers!A:D, 3,FALSE)</f>
        <v xml:space="preserve"> Quezon City    </v>
      </c>
      <c r="L18" s="5" t="str">
        <f ca="1">VLOOKUP(Table2[[#This Row],[DealerID]], Dealers!A:D, 2,FALSE)</f>
        <v xml:space="preserve"> Quezon Vehicles  </v>
      </c>
    </row>
    <row r="19" spans="1:12" x14ac:dyDescent="0.25">
      <c r="A19">
        <v>18</v>
      </c>
      <c r="B19" s="1">
        <v>44644</v>
      </c>
      <c r="C19">
        <f t="shared" ca="1" si="0"/>
        <v>5</v>
      </c>
      <c r="D19">
        <f t="shared" ca="1" si="1"/>
        <v>8</v>
      </c>
      <c r="E19">
        <v>3</v>
      </c>
      <c r="F19" s="10">
        <f ca="1">Table2[[#This Row],[Quantity]]*(INDEX(Models!G:G,MATCH(Table2[[#This Row],[ModelID]],Models!A:A,0)))</f>
        <v>78000</v>
      </c>
      <c r="G19" s="10">
        <f ca="1">Table2[[#This Row],[Quantity]]*(INDEX(Models!H:H,MATCH(Table2[[#This Row],[ModelID]],Models!A:A,0)))</f>
        <v>7800</v>
      </c>
      <c r="H19" t="str">
        <f ca="1">VLOOKUP(Table2[[#This Row],[DealerID]], Dealers!A:D, 4,FALSE)</f>
        <v xml:space="preserve"> Philippines  </v>
      </c>
      <c r="I19" t="str">
        <f ca="1">VLOOKUP(Table2[[#This Row],[ModelID]],Models!A:C,3,FALSE)</f>
        <v xml:space="preserve"> X-Trail         </v>
      </c>
      <c r="J19" s="5" t="str">
        <f ca="1">VLOOKUP(Table2[[#This Row],[ModelID]],Models!A:C,2,FALSE)</f>
        <v xml:space="preserve"> Nissan     </v>
      </c>
      <c r="K19" s="5" t="str">
        <f ca="1">VLOOKUP(Table2[[#This Row],[DealerID]], Dealers!A:D, 3,FALSE)</f>
        <v xml:space="preserve"> Cebu City      </v>
      </c>
      <c r="L19" s="5" t="str">
        <f ca="1">VLOOKUP(Table2[[#This Row],[DealerID]], Dealers!A:D, 2,FALSE)</f>
        <v xml:space="preserve"> Cebu Cars        </v>
      </c>
    </row>
    <row r="20" spans="1:12" x14ac:dyDescent="0.25">
      <c r="A20">
        <v>19</v>
      </c>
      <c r="B20" s="1">
        <v>44645</v>
      </c>
      <c r="C20">
        <f t="shared" ca="1" si="0"/>
        <v>5</v>
      </c>
      <c r="D20">
        <f t="shared" ca="1" si="1"/>
        <v>5</v>
      </c>
      <c r="E20">
        <v>1</v>
      </c>
      <c r="F20" s="10">
        <f ca="1">Table2[[#This Row],[Quantity]]*(INDEX(Models!G:G,MATCH(Table2[[#This Row],[ModelID]],Models!A:A,0)))</f>
        <v>25000</v>
      </c>
      <c r="G20" s="10">
        <f ca="1">Table2[[#This Row],[Quantity]]*(INDEX(Models!H:H,MATCH(Table2[[#This Row],[ModelID]],Models!A:A,0)))</f>
        <v>2500</v>
      </c>
      <c r="H20" t="str">
        <f ca="1">VLOOKUP(Table2[[#This Row],[DealerID]], Dealers!A:D, 4,FALSE)</f>
        <v xml:space="preserve"> Philippines  </v>
      </c>
      <c r="I20" t="str">
        <f ca="1">VLOOKUP(Table2[[#This Row],[ModelID]],Models!A:C,3,FALSE)</f>
        <v xml:space="preserve"> Ranger          </v>
      </c>
      <c r="J20" s="5" t="str">
        <f ca="1">VLOOKUP(Table2[[#This Row],[ModelID]],Models!A:C,2,FALSE)</f>
        <v xml:space="preserve"> Ford       </v>
      </c>
      <c r="K20" s="5" t="str">
        <f ca="1">VLOOKUP(Table2[[#This Row],[DealerID]], Dealers!A:D, 3,FALSE)</f>
        <v xml:space="preserve"> Cebu City      </v>
      </c>
      <c r="L20" s="5" t="str">
        <f ca="1">VLOOKUP(Table2[[#This Row],[DealerID]], Dealers!A:D, 2,FALSE)</f>
        <v xml:space="preserve"> Cebu Cars        </v>
      </c>
    </row>
    <row r="21" spans="1:12" x14ac:dyDescent="0.25">
      <c r="A21">
        <v>20</v>
      </c>
      <c r="B21" s="1">
        <v>44646</v>
      </c>
      <c r="C21">
        <f t="shared" ca="1" si="0"/>
        <v>7</v>
      </c>
      <c r="D21">
        <f t="shared" ca="1" si="1"/>
        <v>8</v>
      </c>
      <c r="E21">
        <v>1</v>
      </c>
      <c r="F21" s="10">
        <f ca="1">Table2[[#This Row],[Quantity]]*(INDEX(Models!G:G,MATCH(Table2[[#This Row],[ModelID]],Models!A:A,0)))</f>
        <v>26000</v>
      </c>
      <c r="G21" s="10">
        <f ca="1">Table2[[#This Row],[Quantity]]*(INDEX(Models!H:H,MATCH(Table2[[#This Row],[ModelID]],Models!A:A,0)))</f>
        <v>2600</v>
      </c>
      <c r="H21" t="str">
        <f ca="1">VLOOKUP(Table2[[#This Row],[DealerID]], Dealers!A:D, 4,FALSE)</f>
        <v xml:space="preserve"> Philippines  </v>
      </c>
      <c r="I21" t="str">
        <f ca="1">VLOOKUP(Table2[[#This Row],[ModelID]],Models!A:C,3,FALSE)</f>
        <v xml:space="preserve"> X-Trail         </v>
      </c>
      <c r="J21" s="5" t="str">
        <f ca="1">VLOOKUP(Table2[[#This Row],[ModelID]],Models!A:C,2,FALSE)</f>
        <v xml:space="preserve"> Nissan     </v>
      </c>
      <c r="K21" s="5" t="str">
        <f ca="1">VLOOKUP(Table2[[#This Row],[DealerID]], Dealers!A:D, 3,FALSE)</f>
        <v xml:space="preserve"> Quezon City    </v>
      </c>
      <c r="L21" s="5" t="str">
        <f ca="1">VLOOKUP(Table2[[#This Row],[DealerID]], Dealers!A:D, 2,FALSE)</f>
        <v xml:space="preserve"> Quezon Vehicles  </v>
      </c>
    </row>
    <row r="22" spans="1:12" x14ac:dyDescent="0.25">
      <c r="A22">
        <v>21</v>
      </c>
      <c r="B22" s="1">
        <v>44649</v>
      </c>
      <c r="C22">
        <f t="shared" ca="1" si="0"/>
        <v>3</v>
      </c>
      <c r="D22">
        <f t="shared" ca="1" si="1"/>
        <v>15</v>
      </c>
      <c r="E22">
        <v>2</v>
      </c>
      <c r="F22" s="10">
        <f ca="1">Table2[[#This Row],[Quantity]]*(INDEX(Models!G:G,MATCH(Table2[[#This Row],[ModelID]],Models!A:A,0)))</f>
        <v>48000</v>
      </c>
      <c r="G22" s="10">
        <f ca="1">Table2[[#This Row],[Quantity]]*(INDEX(Models!H:H,MATCH(Table2[[#This Row],[ModelID]],Models!A:A,0)))</f>
        <v>4800</v>
      </c>
      <c r="H22" t="str">
        <f ca="1">VLOOKUP(Table2[[#This Row],[DealerID]], Dealers!A:D, 4,FALSE)</f>
        <v xml:space="preserve"> Singapore    </v>
      </c>
      <c r="I22" t="str">
        <f ca="1">VLOOKUP(Table2[[#This Row],[ModelID]],Models!A:C,3,FALSE)</f>
        <v xml:space="preserve"> Mazda3          </v>
      </c>
      <c r="J22" s="5" t="str">
        <f ca="1">VLOOKUP(Table2[[#This Row],[ModelID]],Models!A:C,2,FALSE)</f>
        <v xml:space="preserve"> Mazda      </v>
      </c>
      <c r="K22" s="5" t="str">
        <f ca="1">VLOOKUP(Table2[[#This Row],[DealerID]], Dealers!A:D, 3,FALSE)</f>
        <v xml:space="preserve"> Singapore      </v>
      </c>
      <c r="L22" s="5" t="str">
        <f ca="1">VLOOKUP(Table2[[#This Row],[DealerID]], Dealers!A:D, 2,FALSE)</f>
        <v xml:space="preserve"> Singapore Autos  </v>
      </c>
    </row>
    <row r="23" spans="1:12" x14ac:dyDescent="0.25">
      <c r="A23">
        <v>22</v>
      </c>
      <c r="B23" s="1">
        <v>44650</v>
      </c>
      <c r="C23">
        <f t="shared" ca="1" si="0"/>
        <v>4</v>
      </c>
      <c r="D23">
        <f t="shared" ca="1" si="1"/>
        <v>10</v>
      </c>
      <c r="E23">
        <v>1</v>
      </c>
      <c r="F23" s="10">
        <f ca="1">Table2[[#This Row],[Quantity]]*(INDEX(Models!G:G,MATCH(Table2[[#This Row],[ModelID]],Models!A:A,0)))</f>
        <v>32000</v>
      </c>
      <c r="G23" s="10">
        <f ca="1">Table2[[#This Row],[Quantity]]*(INDEX(Models!H:H,MATCH(Table2[[#This Row],[ModelID]],Models!A:A,0)))</f>
        <v>3200</v>
      </c>
      <c r="H23" t="str">
        <f ca="1">VLOOKUP(Table2[[#This Row],[DealerID]], Dealers!A:D, 4,FALSE)</f>
        <v xml:space="preserve"> Philippines  </v>
      </c>
      <c r="I23" t="str">
        <f ca="1">VLOOKUP(Table2[[#This Row],[ModelID]],Models!A:C,3,FALSE)</f>
        <v xml:space="preserve"> Outlander       </v>
      </c>
      <c r="J23" s="5" t="str">
        <f ca="1">VLOOKUP(Table2[[#This Row],[ModelID]],Models!A:C,2,FALSE)</f>
        <v xml:space="preserve"> Mitsubishi </v>
      </c>
      <c r="K23" s="5" t="str">
        <f ca="1">VLOOKUP(Table2[[#This Row],[DealerID]], Dealers!A:D, 3,FALSE)</f>
        <v xml:space="preserve"> Manila         </v>
      </c>
      <c r="L23" s="5" t="str">
        <f ca="1">VLOOKUP(Table2[[#This Row],[DealerID]], Dealers!A:D, 2,FALSE)</f>
        <v xml:space="preserve"> Manila Motors    </v>
      </c>
    </row>
    <row r="24" spans="1:12" x14ac:dyDescent="0.25">
      <c r="A24">
        <v>23</v>
      </c>
      <c r="B24" s="1">
        <v>44651</v>
      </c>
      <c r="C24">
        <f t="shared" ca="1" si="0"/>
        <v>2</v>
      </c>
      <c r="D24">
        <f t="shared" ca="1" si="1"/>
        <v>9</v>
      </c>
      <c r="E24">
        <v>3</v>
      </c>
      <c r="F24" s="10">
        <f ca="1">Table2[[#This Row],[Quantity]]*(INDEX(Models!G:G,MATCH(Table2[[#This Row],[ModelID]],Models!A:A,0)))</f>
        <v>54000</v>
      </c>
      <c r="G24" s="10">
        <f ca="1">Table2[[#This Row],[Quantity]]*(INDEX(Models!H:H,MATCH(Table2[[#This Row],[ModelID]],Models!A:A,0)))</f>
        <v>5400</v>
      </c>
      <c r="H24" t="str">
        <f ca="1">VLOOKUP(Table2[[#This Row],[DealerID]], Dealers!A:D, 4,FALSE)</f>
        <v xml:space="preserve"> Malaysia     </v>
      </c>
      <c r="I24" t="str">
        <f ca="1">VLOOKUP(Table2[[#This Row],[ModelID]],Models!A:C,3,FALSE)</f>
        <v xml:space="preserve"> Xpander         </v>
      </c>
      <c r="J24" s="5" t="str">
        <f ca="1">VLOOKUP(Table2[[#This Row],[ModelID]],Models!A:C,2,FALSE)</f>
        <v xml:space="preserve"> Mitsubishi </v>
      </c>
      <c r="K24" s="5" t="str">
        <f ca="1">VLOOKUP(Table2[[#This Row],[DealerID]], Dealers!A:D, 3,FALSE)</f>
        <v xml:space="preserve"> George Town     </v>
      </c>
      <c r="L24" s="5" t="str">
        <f ca="1">VLOOKUP(Table2[[#This Row],[DealerID]], Dealers!A:D, 2,FALSE)</f>
        <v xml:space="preserve"> XYZ Cars         </v>
      </c>
    </row>
    <row r="25" spans="1:12" x14ac:dyDescent="0.25">
      <c r="A25">
        <v>24</v>
      </c>
      <c r="B25" s="1">
        <v>44652</v>
      </c>
      <c r="C25">
        <f t="shared" ca="1" si="0"/>
        <v>5</v>
      </c>
      <c r="D25">
        <f t="shared" ca="1" si="1"/>
        <v>4</v>
      </c>
      <c r="E25">
        <v>1</v>
      </c>
      <c r="F25" s="10">
        <f ca="1">Table2[[#This Row],[Quantity]]*(INDEX(Models!G:G,MATCH(Table2[[#This Row],[ModelID]],Models!A:A,0)))</f>
        <v>28000</v>
      </c>
      <c r="G25" s="10">
        <f ca="1">Table2[[#This Row],[Quantity]]*(INDEX(Models!H:H,MATCH(Table2[[#This Row],[ModelID]],Models!A:A,0)))</f>
        <v>2800</v>
      </c>
      <c r="H25" t="str">
        <f ca="1">VLOOKUP(Table2[[#This Row],[DealerID]], Dealers!A:D, 4,FALSE)</f>
        <v xml:space="preserve"> Philippines  </v>
      </c>
      <c r="I25" t="str">
        <f ca="1">VLOOKUP(Table2[[#This Row],[ModelID]],Models!A:C,3,FALSE)</f>
        <v xml:space="preserve"> CR-V            </v>
      </c>
      <c r="J25" s="5" t="str">
        <f ca="1">VLOOKUP(Table2[[#This Row],[ModelID]],Models!A:C,2,FALSE)</f>
        <v xml:space="preserve"> Honda      </v>
      </c>
      <c r="K25" s="5" t="str">
        <f ca="1">VLOOKUP(Table2[[#This Row],[DealerID]], Dealers!A:D, 3,FALSE)</f>
        <v xml:space="preserve"> Cebu City      </v>
      </c>
      <c r="L25" s="5" t="str">
        <f ca="1">VLOOKUP(Table2[[#This Row],[DealerID]], Dealers!A:D, 2,FALSE)</f>
        <v xml:space="preserve"> Cebu Cars        </v>
      </c>
    </row>
    <row r="26" spans="1:12" x14ac:dyDescent="0.25">
      <c r="A26">
        <v>25</v>
      </c>
      <c r="B26" s="1">
        <v>44653</v>
      </c>
      <c r="C26">
        <f t="shared" ca="1" si="0"/>
        <v>6</v>
      </c>
      <c r="D26">
        <f t="shared" ca="1" si="1"/>
        <v>6</v>
      </c>
      <c r="E26">
        <v>2</v>
      </c>
      <c r="F26" s="10">
        <f ca="1">Table2[[#This Row],[Quantity]]*(INDEX(Models!G:G,MATCH(Table2[[#This Row],[ModelID]],Models!A:A,0)))</f>
        <v>60000</v>
      </c>
      <c r="G26" s="10">
        <f ca="1">Table2[[#This Row],[Quantity]]*(INDEX(Models!H:H,MATCH(Table2[[#This Row],[ModelID]],Models!A:A,0)))</f>
        <v>6000</v>
      </c>
      <c r="H26" t="str">
        <f ca="1">VLOOKUP(Table2[[#This Row],[DealerID]], Dealers!A:D, 4,FALSE)</f>
        <v xml:space="preserve"> Philippines  </v>
      </c>
      <c r="I26" t="str">
        <f ca="1">VLOOKUP(Table2[[#This Row],[ModelID]],Models!A:C,3,FALSE)</f>
        <v xml:space="preserve"> Everest         </v>
      </c>
      <c r="J26" s="5" t="str">
        <f ca="1">VLOOKUP(Table2[[#This Row],[ModelID]],Models!A:C,2,FALSE)</f>
        <v xml:space="preserve"> Ford       </v>
      </c>
      <c r="K26" s="5" t="str">
        <f ca="1">VLOOKUP(Table2[[#This Row],[DealerID]], Dealers!A:D, 3,FALSE)</f>
        <v xml:space="preserve"> Davao City     </v>
      </c>
      <c r="L26" s="5" t="str">
        <f ca="1">VLOOKUP(Table2[[#This Row],[DealerID]], Dealers!A:D, 2,FALSE)</f>
        <v xml:space="preserve"> Davao Dealers    </v>
      </c>
    </row>
    <row r="27" spans="1:12" x14ac:dyDescent="0.25">
      <c r="A27">
        <v>26</v>
      </c>
      <c r="B27" s="1">
        <v>44656</v>
      </c>
      <c r="C27">
        <f t="shared" ca="1" si="0"/>
        <v>6</v>
      </c>
      <c r="D27">
        <f t="shared" ca="1" si="1"/>
        <v>6</v>
      </c>
      <c r="E27">
        <v>1</v>
      </c>
      <c r="F27" s="10">
        <f ca="1">Table2[[#This Row],[Quantity]]*(INDEX(Models!G:G,MATCH(Table2[[#This Row],[ModelID]],Models!A:A,0)))</f>
        <v>30000</v>
      </c>
      <c r="G27" s="10">
        <f ca="1">Table2[[#This Row],[Quantity]]*(INDEX(Models!H:H,MATCH(Table2[[#This Row],[ModelID]],Models!A:A,0)))</f>
        <v>3000</v>
      </c>
      <c r="H27" t="str">
        <f ca="1">VLOOKUP(Table2[[#This Row],[DealerID]], Dealers!A:D, 4,FALSE)</f>
        <v xml:space="preserve"> Philippines  </v>
      </c>
      <c r="I27" t="str">
        <f ca="1">VLOOKUP(Table2[[#This Row],[ModelID]],Models!A:C,3,FALSE)</f>
        <v xml:space="preserve"> Everest         </v>
      </c>
      <c r="J27" s="5" t="str">
        <f ca="1">VLOOKUP(Table2[[#This Row],[ModelID]],Models!A:C,2,FALSE)</f>
        <v xml:space="preserve"> Ford       </v>
      </c>
      <c r="K27" s="5" t="str">
        <f ca="1">VLOOKUP(Table2[[#This Row],[DealerID]], Dealers!A:D, 3,FALSE)</f>
        <v xml:space="preserve"> Davao City     </v>
      </c>
      <c r="L27" s="5" t="str">
        <f ca="1">VLOOKUP(Table2[[#This Row],[DealerID]], Dealers!A:D, 2,FALSE)</f>
        <v xml:space="preserve"> Davao Dealers    </v>
      </c>
    </row>
    <row r="28" spans="1:12" x14ac:dyDescent="0.25">
      <c r="A28">
        <v>27</v>
      </c>
      <c r="B28" s="1">
        <v>44657</v>
      </c>
      <c r="C28">
        <f t="shared" ca="1" si="0"/>
        <v>10</v>
      </c>
      <c r="D28">
        <f t="shared" ca="1" si="1"/>
        <v>12</v>
      </c>
      <c r="E28">
        <v>1</v>
      </c>
      <c r="F28" s="10">
        <f ca="1">Table2[[#This Row],[Quantity]]*(INDEX(Models!G:G,MATCH(Table2[[#This Row],[ModelID]],Models!A:A,0)))</f>
        <v>34000</v>
      </c>
      <c r="G28" s="10">
        <f ca="1">Table2[[#This Row],[Quantity]]*(INDEX(Models!H:H,MATCH(Table2[[#This Row],[ModelID]],Models!A:A,0)))</f>
        <v>3400</v>
      </c>
      <c r="H28" t="str">
        <f ca="1">VLOOKUP(Table2[[#This Row],[DealerID]], Dealers!A:D, 4,FALSE)</f>
        <v xml:space="preserve"> Philippines  </v>
      </c>
      <c r="I28" t="str">
        <f ca="1">VLOOKUP(Table2[[#This Row],[ModelID]],Models!A:C,3,FALSE)</f>
        <v xml:space="preserve"> Santa Fe        </v>
      </c>
      <c r="J28" s="5" t="str">
        <f ca="1">VLOOKUP(Table2[[#This Row],[ModelID]],Models!A:C,2,FALSE)</f>
        <v xml:space="preserve"> Hyundai    </v>
      </c>
      <c r="K28" s="5" t="str">
        <f ca="1">VLOOKUP(Table2[[#This Row],[DealerID]], Dealers!A:D, 3,FALSE)</f>
        <v xml:space="preserve"> Zamboanga City </v>
      </c>
      <c r="L28" s="5" t="str">
        <f ca="1">VLOOKUP(Table2[[#This Row],[DealerID]], Dealers!A:D, 2,FALSE)</f>
        <v xml:space="preserve"> Zamboanga Cars   </v>
      </c>
    </row>
    <row r="29" spans="1:12" x14ac:dyDescent="0.25">
      <c r="A29">
        <v>28</v>
      </c>
      <c r="B29" s="1">
        <v>44658</v>
      </c>
      <c r="C29">
        <f t="shared" ca="1" si="0"/>
        <v>4</v>
      </c>
      <c r="D29">
        <f t="shared" ca="1" si="1"/>
        <v>1</v>
      </c>
      <c r="E29">
        <v>3</v>
      </c>
      <c r="F29" s="10">
        <f ca="1">Table2[[#This Row],[Quantity]]*(INDEX(Models!G:G,MATCH(Table2[[#This Row],[ModelID]],Models!A:A,0)))</f>
        <v>45000</v>
      </c>
      <c r="G29" s="10">
        <f ca="1">Table2[[#This Row],[Quantity]]*(INDEX(Models!H:H,MATCH(Table2[[#This Row],[ModelID]],Models!A:A,0)))</f>
        <v>4500</v>
      </c>
      <c r="H29" t="str">
        <f ca="1">VLOOKUP(Table2[[#This Row],[DealerID]], Dealers!A:D, 4,FALSE)</f>
        <v xml:space="preserve"> Philippines  </v>
      </c>
      <c r="I29" t="str">
        <f ca="1">VLOOKUP(Table2[[#This Row],[ModelID]],Models!A:C,3,FALSE)</f>
        <v xml:space="preserve"> Vios            </v>
      </c>
      <c r="J29" s="5" t="str">
        <f ca="1">VLOOKUP(Table2[[#This Row],[ModelID]],Models!A:C,2,FALSE)</f>
        <v xml:space="preserve"> Toyota     </v>
      </c>
      <c r="K29" s="5" t="str">
        <f ca="1">VLOOKUP(Table2[[#This Row],[DealerID]], Dealers!A:D, 3,FALSE)</f>
        <v xml:space="preserve"> Manila         </v>
      </c>
      <c r="L29" s="5" t="str">
        <f ca="1">VLOOKUP(Table2[[#This Row],[DealerID]], Dealers!A:D, 2,FALSE)</f>
        <v xml:space="preserve"> Manila Motors    </v>
      </c>
    </row>
    <row r="30" spans="1:12" x14ac:dyDescent="0.25">
      <c r="A30">
        <v>29</v>
      </c>
      <c r="B30" s="1">
        <v>44659</v>
      </c>
      <c r="C30">
        <f t="shared" ca="1" si="0"/>
        <v>5</v>
      </c>
      <c r="D30">
        <f t="shared" ca="1" si="1"/>
        <v>15</v>
      </c>
      <c r="E30">
        <v>1</v>
      </c>
      <c r="F30" s="10">
        <f ca="1">Table2[[#This Row],[Quantity]]*(INDEX(Models!G:G,MATCH(Table2[[#This Row],[ModelID]],Models!A:A,0)))</f>
        <v>24000</v>
      </c>
      <c r="G30" s="10">
        <f ca="1">Table2[[#This Row],[Quantity]]*(INDEX(Models!H:H,MATCH(Table2[[#This Row],[ModelID]],Models!A:A,0)))</f>
        <v>2400</v>
      </c>
      <c r="H30" t="str">
        <f ca="1">VLOOKUP(Table2[[#This Row],[DealerID]], Dealers!A:D, 4,FALSE)</f>
        <v xml:space="preserve"> Philippines  </v>
      </c>
      <c r="I30" t="str">
        <f ca="1">VLOOKUP(Table2[[#This Row],[ModelID]],Models!A:C,3,FALSE)</f>
        <v xml:space="preserve"> Mazda3          </v>
      </c>
      <c r="J30" s="5" t="str">
        <f ca="1">VLOOKUP(Table2[[#This Row],[ModelID]],Models!A:C,2,FALSE)</f>
        <v xml:space="preserve"> Mazda      </v>
      </c>
      <c r="K30" s="5" t="str">
        <f ca="1">VLOOKUP(Table2[[#This Row],[DealerID]], Dealers!A:D, 3,FALSE)</f>
        <v xml:space="preserve"> Cebu City      </v>
      </c>
      <c r="L30" s="5" t="str">
        <f ca="1">VLOOKUP(Table2[[#This Row],[DealerID]], Dealers!A:D, 2,FALSE)</f>
        <v xml:space="preserve"> Cebu Cars        </v>
      </c>
    </row>
    <row r="31" spans="1:12" x14ac:dyDescent="0.25">
      <c r="A31">
        <v>30</v>
      </c>
      <c r="B31" s="1">
        <v>44660</v>
      </c>
      <c r="C31">
        <f t="shared" ca="1" si="0"/>
        <v>2</v>
      </c>
      <c r="D31">
        <f t="shared" ca="1" si="1"/>
        <v>11</v>
      </c>
      <c r="E31">
        <v>1</v>
      </c>
      <c r="F31" s="10">
        <f ca="1">Table2[[#This Row],[Quantity]]*(INDEX(Models!G:G,MATCH(Table2[[#This Row],[ModelID]],Models!A:A,0)))</f>
        <v>16000</v>
      </c>
      <c r="G31" s="10">
        <f ca="1">Table2[[#This Row],[Quantity]]*(INDEX(Models!H:H,MATCH(Table2[[#This Row],[ModelID]],Models!A:A,0)))</f>
        <v>3200</v>
      </c>
      <c r="H31" t="str">
        <f ca="1">VLOOKUP(Table2[[#This Row],[DealerID]], Dealers!A:D, 4,FALSE)</f>
        <v xml:space="preserve"> Malaysia     </v>
      </c>
      <c r="I31" t="str">
        <f ca="1">VLOOKUP(Table2[[#This Row],[ModelID]],Models!A:C,3,FALSE)</f>
        <v xml:space="preserve"> Accent          </v>
      </c>
      <c r="J31" s="5" t="str">
        <f ca="1">VLOOKUP(Table2[[#This Row],[ModelID]],Models!A:C,2,FALSE)</f>
        <v xml:space="preserve"> Hyundai    </v>
      </c>
      <c r="K31" s="5" t="str">
        <f ca="1">VLOOKUP(Table2[[#This Row],[DealerID]], Dealers!A:D, 3,FALSE)</f>
        <v xml:space="preserve"> George Town     </v>
      </c>
      <c r="L31" s="5" t="str">
        <f ca="1">VLOOKUP(Table2[[#This Row],[DealerID]], Dealers!A:D, 2,FALSE)</f>
        <v xml:space="preserve"> XYZ Cars         </v>
      </c>
    </row>
    <row r="32" spans="1:12" x14ac:dyDescent="0.25">
      <c r="A32">
        <v>31</v>
      </c>
      <c r="B32" s="1">
        <v>44663</v>
      </c>
      <c r="C32">
        <f t="shared" ca="1" si="0"/>
        <v>7</v>
      </c>
      <c r="D32">
        <f t="shared" ca="1" si="1"/>
        <v>6</v>
      </c>
      <c r="E32">
        <v>2</v>
      </c>
      <c r="F32" s="10">
        <f ca="1">Table2[[#This Row],[Quantity]]*(INDEX(Models!G:G,MATCH(Table2[[#This Row],[ModelID]],Models!A:A,0)))</f>
        <v>60000</v>
      </c>
      <c r="G32" s="10">
        <f ca="1">Table2[[#This Row],[Quantity]]*(INDEX(Models!H:H,MATCH(Table2[[#This Row],[ModelID]],Models!A:A,0)))</f>
        <v>6000</v>
      </c>
      <c r="H32" t="str">
        <f ca="1">VLOOKUP(Table2[[#This Row],[DealerID]], Dealers!A:D, 4,FALSE)</f>
        <v xml:space="preserve"> Philippines  </v>
      </c>
      <c r="I32" t="str">
        <f ca="1">VLOOKUP(Table2[[#This Row],[ModelID]],Models!A:C,3,FALSE)</f>
        <v xml:space="preserve"> Everest         </v>
      </c>
      <c r="J32" s="5" t="str">
        <f ca="1">VLOOKUP(Table2[[#This Row],[ModelID]],Models!A:C,2,FALSE)</f>
        <v xml:space="preserve"> Ford       </v>
      </c>
      <c r="K32" s="5" t="str">
        <f ca="1">VLOOKUP(Table2[[#This Row],[DealerID]], Dealers!A:D, 3,FALSE)</f>
        <v xml:space="preserve"> Quezon City    </v>
      </c>
      <c r="L32" s="5" t="str">
        <f ca="1">VLOOKUP(Table2[[#This Row],[DealerID]], Dealers!A:D, 2,FALSE)</f>
        <v xml:space="preserve"> Quezon Vehicles  </v>
      </c>
    </row>
    <row r="33" spans="1:12" x14ac:dyDescent="0.25">
      <c r="A33">
        <v>32</v>
      </c>
      <c r="B33" s="1">
        <v>44664</v>
      </c>
      <c r="C33">
        <f t="shared" ca="1" si="0"/>
        <v>10</v>
      </c>
      <c r="D33">
        <f t="shared" ca="1" si="1"/>
        <v>2</v>
      </c>
      <c r="E33">
        <v>1</v>
      </c>
      <c r="F33" s="10">
        <f ca="1">Table2[[#This Row],[Quantity]]*(INDEX(Models!G:G,MATCH(Table2[[#This Row],[ModelID]],Models!A:A,0)))</f>
        <v>20000</v>
      </c>
      <c r="G33" s="10">
        <f ca="1">Table2[[#This Row],[Quantity]]*(INDEX(Models!H:H,MATCH(Table2[[#This Row],[ModelID]],Models!A:A,0)))</f>
        <v>2000</v>
      </c>
      <c r="H33" t="str">
        <f ca="1">VLOOKUP(Table2[[#This Row],[DealerID]], Dealers!A:D, 4,FALSE)</f>
        <v xml:space="preserve"> Philippines  </v>
      </c>
      <c r="I33" t="str">
        <f ca="1">VLOOKUP(Table2[[#This Row],[ModelID]],Models!A:C,3,FALSE)</f>
        <v xml:space="preserve"> Corolla Altis   </v>
      </c>
      <c r="J33" s="5" t="str">
        <f ca="1">VLOOKUP(Table2[[#This Row],[ModelID]],Models!A:C,2,FALSE)</f>
        <v xml:space="preserve"> Toyota     </v>
      </c>
      <c r="K33" s="5" t="str">
        <f ca="1">VLOOKUP(Table2[[#This Row],[DealerID]], Dealers!A:D, 3,FALSE)</f>
        <v xml:space="preserve"> Zamboanga City </v>
      </c>
      <c r="L33" s="5" t="str">
        <f ca="1">VLOOKUP(Table2[[#This Row],[DealerID]], Dealers!A:D, 2,FALSE)</f>
        <v xml:space="preserve"> Zamboanga Cars   </v>
      </c>
    </row>
    <row r="34" spans="1:12" x14ac:dyDescent="0.25">
      <c r="A34">
        <v>33</v>
      </c>
      <c r="B34" s="1">
        <v>44665</v>
      </c>
      <c r="C34">
        <f t="shared" ca="1" si="0"/>
        <v>9</v>
      </c>
      <c r="D34">
        <f t="shared" ca="1" si="1"/>
        <v>13</v>
      </c>
      <c r="E34">
        <v>3</v>
      </c>
      <c r="F34" s="10">
        <f ca="1">Table2[[#This Row],[Quantity]]*(INDEX(Models!G:G,MATCH(Table2[[#This Row],[ModelID]],Models!A:A,0)))</f>
        <v>36000</v>
      </c>
      <c r="G34" s="10">
        <f ca="1">Table2[[#This Row],[Quantity]]*(INDEX(Models!H:H,MATCH(Table2[[#This Row],[ModelID]],Models!A:A,0)))</f>
        <v>3600</v>
      </c>
      <c r="H34" t="str">
        <f ca="1">VLOOKUP(Table2[[#This Row],[DealerID]], Dealers!A:D, 4,FALSE)</f>
        <v xml:space="preserve"> Philippines  </v>
      </c>
      <c r="I34" t="str">
        <f ca="1">VLOOKUP(Table2[[#This Row],[ModelID]],Models!A:C,3,FALSE)</f>
        <v xml:space="preserve"> Persona         </v>
      </c>
      <c r="J34" s="5" t="str">
        <f ca="1">VLOOKUP(Table2[[#This Row],[ModelID]],Models!A:C,2,FALSE)</f>
        <v xml:space="preserve"> Proton     </v>
      </c>
      <c r="K34" s="5" t="str">
        <f ca="1">VLOOKUP(Table2[[#This Row],[DealerID]], Dealers!A:D, 3,FALSE)</f>
        <v xml:space="preserve"> Iloilo City    </v>
      </c>
      <c r="L34" s="5" t="str">
        <f ca="1">VLOOKUP(Table2[[#This Row],[DealerID]], Dealers!A:D, 2,FALSE)</f>
        <v xml:space="preserve"> Iloilo Motors    </v>
      </c>
    </row>
    <row r="35" spans="1:12" x14ac:dyDescent="0.25">
      <c r="A35">
        <v>34</v>
      </c>
      <c r="B35" s="1">
        <v>44666</v>
      </c>
      <c r="C35">
        <f t="shared" ca="1" si="0"/>
        <v>3</v>
      </c>
      <c r="D35">
        <f t="shared" ca="1" si="1"/>
        <v>10</v>
      </c>
      <c r="E35">
        <v>1</v>
      </c>
      <c r="F35" s="10">
        <f ca="1">Table2[[#This Row],[Quantity]]*(INDEX(Models!G:G,MATCH(Table2[[#This Row],[ModelID]],Models!A:A,0)))</f>
        <v>32000</v>
      </c>
      <c r="G35" s="10">
        <f ca="1">Table2[[#This Row],[Quantity]]*(INDEX(Models!H:H,MATCH(Table2[[#This Row],[ModelID]],Models!A:A,0)))</f>
        <v>3200</v>
      </c>
      <c r="H35" t="str">
        <f ca="1">VLOOKUP(Table2[[#This Row],[DealerID]], Dealers!A:D, 4,FALSE)</f>
        <v xml:space="preserve"> Singapore    </v>
      </c>
      <c r="I35" t="str">
        <f ca="1">VLOOKUP(Table2[[#This Row],[ModelID]],Models!A:C,3,FALSE)</f>
        <v xml:space="preserve"> Outlander       </v>
      </c>
      <c r="J35" s="5" t="str">
        <f ca="1">VLOOKUP(Table2[[#This Row],[ModelID]],Models!A:C,2,FALSE)</f>
        <v xml:space="preserve"> Mitsubishi </v>
      </c>
      <c r="K35" s="5" t="str">
        <f ca="1">VLOOKUP(Table2[[#This Row],[DealerID]], Dealers!A:D, 3,FALSE)</f>
        <v xml:space="preserve"> Singapore      </v>
      </c>
      <c r="L35" s="5" t="str">
        <f ca="1">VLOOKUP(Table2[[#This Row],[DealerID]], Dealers!A:D, 2,FALSE)</f>
        <v xml:space="preserve"> Singapore Autos  </v>
      </c>
    </row>
    <row r="36" spans="1:12" x14ac:dyDescent="0.25">
      <c r="A36">
        <v>35</v>
      </c>
      <c r="B36" s="1">
        <v>44667</v>
      </c>
      <c r="C36">
        <f t="shared" ca="1" si="0"/>
        <v>4</v>
      </c>
      <c r="D36">
        <f t="shared" ca="1" si="1"/>
        <v>12</v>
      </c>
      <c r="E36">
        <v>2</v>
      </c>
      <c r="F36" s="10">
        <f ca="1">Table2[[#This Row],[Quantity]]*(INDEX(Models!G:G,MATCH(Table2[[#This Row],[ModelID]],Models!A:A,0)))</f>
        <v>68000</v>
      </c>
      <c r="G36" s="10">
        <f ca="1">Table2[[#This Row],[Quantity]]*(INDEX(Models!H:H,MATCH(Table2[[#This Row],[ModelID]],Models!A:A,0)))</f>
        <v>6800</v>
      </c>
      <c r="H36" t="str">
        <f ca="1">VLOOKUP(Table2[[#This Row],[DealerID]], Dealers!A:D, 4,FALSE)</f>
        <v xml:space="preserve"> Philippines  </v>
      </c>
      <c r="I36" t="str">
        <f ca="1">VLOOKUP(Table2[[#This Row],[ModelID]],Models!A:C,3,FALSE)</f>
        <v xml:space="preserve"> Santa Fe        </v>
      </c>
      <c r="J36" s="5" t="str">
        <f ca="1">VLOOKUP(Table2[[#This Row],[ModelID]],Models!A:C,2,FALSE)</f>
        <v xml:space="preserve"> Hyundai    </v>
      </c>
      <c r="K36" s="5" t="str">
        <f ca="1">VLOOKUP(Table2[[#This Row],[DealerID]], Dealers!A:D, 3,FALSE)</f>
        <v xml:space="preserve"> Manila         </v>
      </c>
      <c r="L36" s="5" t="str">
        <f ca="1">VLOOKUP(Table2[[#This Row],[DealerID]], Dealers!A:D, 2,FALSE)</f>
        <v xml:space="preserve"> Manila Motors    </v>
      </c>
    </row>
    <row r="37" spans="1:12" x14ac:dyDescent="0.25">
      <c r="A37">
        <v>36</v>
      </c>
      <c r="B37" s="1">
        <v>44670</v>
      </c>
      <c r="C37">
        <f t="shared" ca="1" si="0"/>
        <v>2</v>
      </c>
      <c r="D37">
        <f t="shared" ca="1" si="1"/>
        <v>12</v>
      </c>
      <c r="E37">
        <v>1</v>
      </c>
      <c r="F37" s="10">
        <f ca="1">Table2[[#This Row],[Quantity]]*(INDEX(Models!G:G,MATCH(Table2[[#This Row],[ModelID]],Models!A:A,0)))</f>
        <v>34000</v>
      </c>
      <c r="G37" s="10">
        <f ca="1">Table2[[#This Row],[Quantity]]*(INDEX(Models!H:H,MATCH(Table2[[#This Row],[ModelID]],Models!A:A,0)))</f>
        <v>3400</v>
      </c>
      <c r="H37" t="str">
        <f ca="1">VLOOKUP(Table2[[#This Row],[DealerID]], Dealers!A:D, 4,FALSE)</f>
        <v xml:space="preserve"> Malaysia     </v>
      </c>
      <c r="I37" t="str">
        <f ca="1">VLOOKUP(Table2[[#This Row],[ModelID]],Models!A:C,3,FALSE)</f>
        <v xml:space="preserve"> Santa Fe        </v>
      </c>
      <c r="J37" s="5" t="str">
        <f ca="1">VLOOKUP(Table2[[#This Row],[ModelID]],Models!A:C,2,FALSE)</f>
        <v xml:space="preserve"> Hyundai    </v>
      </c>
      <c r="K37" s="5" t="str">
        <f ca="1">VLOOKUP(Table2[[#This Row],[DealerID]], Dealers!A:D, 3,FALSE)</f>
        <v xml:space="preserve"> George Town     </v>
      </c>
      <c r="L37" s="5" t="str">
        <f ca="1">VLOOKUP(Table2[[#This Row],[DealerID]], Dealers!A:D, 2,FALSE)</f>
        <v xml:space="preserve"> XYZ Cars         </v>
      </c>
    </row>
    <row r="38" spans="1:12" x14ac:dyDescent="0.25">
      <c r="A38">
        <v>37</v>
      </c>
      <c r="B38" s="1">
        <v>44671</v>
      </c>
      <c r="C38">
        <f t="shared" ca="1" si="0"/>
        <v>6</v>
      </c>
      <c r="D38">
        <f t="shared" ca="1" si="1"/>
        <v>6</v>
      </c>
      <c r="E38">
        <v>1</v>
      </c>
      <c r="F38" s="10">
        <f ca="1">Table2[[#This Row],[Quantity]]*(INDEX(Models!G:G,MATCH(Table2[[#This Row],[ModelID]],Models!A:A,0)))</f>
        <v>30000</v>
      </c>
      <c r="G38" s="10">
        <f ca="1">Table2[[#This Row],[Quantity]]*(INDEX(Models!H:H,MATCH(Table2[[#This Row],[ModelID]],Models!A:A,0)))</f>
        <v>3000</v>
      </c>
      <c r="H38" t="str">
        <f ca="1">VLOOKUP(Table2[[#This Row],[DealerID]], Dealers!A:D, 4,FALSE)</f>
        <v xml:space="preserve"> Philippines  </v>
      </c>
      <c r="I38" t="str">
        <f ca="1">VLOOKUP(Table2[[#This Row],[ModelID]],Models!A:C,3,FALSE)</f>
        <v xml:space="preserve"> Everest         </v>
      </c>
      <c r="J38" s="5" t="str">
        <f ca="1">VLOOKUP(Table2[[#This Row],[ModelID]],Models!A:C,2,FALSE)</f>
        <v xml:space="preserve"> Ford       </v>
      </c>
      <c r="K38" s="5" t="str">
        <f ca="1">VLOOKUP(Table2[[#This Row],[DealerID]], Dealers!A:D, 3,FALSE)</f>
        <v xml:space="preserve"> Davao City     </v>
      </c>
      <c r="L38" s="5" t="str">
        <f ca="1">VLOOKUP(Table2[[#This Row],[DealerID]], Dealers!A:D, 2,FALSE)</f>
        <v xml:space="preserve"> Davao Dealers    </v>
      </c>
    </row>
    <row r="39" spans="1:12" x14ac:dyDescent="0.25">
      <c r="A39">
        <v>38</v>
      </c>
      <c r="B39" s="1">
        <v>44672</v>
      </c>
      <c r="C39">
        <f t="shared" ca="1" si="0"/>
        <v>10</v>
      </c>
      <c r="D39">
        <f t="shared" ca="1" si="1"/>
        <v>2</v>
      </c>
      <c r="E39">
        <v>3</v>
      </c>
      <c r="F39" s="10">
        <f ca="1">Table2[[#This Row],[Quantity]]*(INDEX(Models!G:G,MATCH(Table2[[#This Row],[ModelID]],Models!A:A,0)))</f>
        <v>60000</v>
      </c>
      <c r="G39" s="10">
        <f ca="1">Table2[[#This Row],[Quantity]]*(INDEX(Models!H:H,MATCH(Table2[[#This Row],[ModelID]],Models!A:A,0)))</f>
        <v>6000</v>
      </c>
      <c r="H39" t="str">
        <f ca="1">VLOOKUP(Table2[[#This Row],[DealerID]], Dealers!A:D, 4,FALSE)</f>
        <v xml:space="preserve"> Philippines  </v>
      </c>
      <c r="I39" t="str">
        <f ca="1">VLOOKUP(Table2[[#This Row],[ModelID]],Models!A:C,3,FALSE)</f>
        <v xml:space="preserve"> Corolla Altis   </v>
      </c>
      <c r="J39" s="5" t="str">
        <f ca="1">VLOOKUP(Table2[[#This Row],[ModelID]],Models!A:C,2,FALSE)</f>
        <v xml:space="preserve"> Toyota     </v>
      </c>
      <c r="K39" s="5" t="str">
        <f ca="1">VLOOKUP(Table2[[#This Row],[DealerID]], Dealers!A:D, 3,FALSE)</f>
        <v xml:space="preserve"> Zamboanga City </v>
      </c>
      <c r="L39" s="5" t="str">
        <f ca="1">VLOOKUP(Table2[[#This Row],[DealerID]], Dealers!A:D, 2,FALSE)</f>
        <v xml:space="preserve"> Zamboanga Cars   </v>
      </c>
    </row>
    <row r="40" spans="1:12" x14ac:dyDescent="0.25">
      <c r="A40">
        <v>39</v>
      </c>
      <c r="B40" s="1">
        <v>44673</v>
      </c>
      <c r="C40">
        <f t="shared" ca="1" si="0"/>
        <v>4</v>
      </c>
      <c r="D40">
        <f t="shared" ca="1" si="1"/>
        <v>12</v>
      </c>
      <c r="E40">
        <v>1</v>
      </c>
      <c r="F40" s="10">
        <f ca="1">Table2[[#This Row],[Quantity]]*(INDEX(Models!G:G,MATCH(Table2[[#This Row],[ModelID]],Models!A:A,0)))</f>
        <v>34000</v>
      </c>
      <c r="G40" s="10">
        <f ca="1">Table2[[#This Row],[Quantity]]*(INDEX(Models!H:H,MATCH(Table2[[#This Row],[ModelID]],Models!A:A,0)))</f>
        <v>3400</v>
      </c>
      <c r="H40" t="str">
        <f ca="1">VLOOKUP(Table2[[#This Row],[DealerID]], Dealers!A:D, 4,FALSE)</f>
        <v xml:space="preserve"> Philippines  </v>
      </c>
      <c r="I40" t="str">
        <f ca="1">VLOOKUP(Table2[[#This Row],[ModelID]],Models!A:C,3,FALSE)</f>
        <v xml:space="preserve"> Santa Fe        </v>
      </c>
      <c r="J40" s="5" t="str">
        <f ca="1">VLOOKUP(Table2[[#This Row],[ModelID]],Models!A:C,2,FALSE)</f>
        <v xml:space="preserve"> Hyundai    </v>
      </c>
      <c r="K40" s="5" t="str">
        <f ca="1">VLOOKUP(Table2[[#This Row],[DealerID]], Dealers!A:D, 3,FALSE)</f>
        <v xml:space="preserve"> Manila         </v>
      </c>
      <c r="L40" s="5" t="str">
        <f ca="1">VLOOKUP(Table2[[#This Row],[DealerID]], Dealers!A:D, 2,FALSE)</f>
        <v xml:space="preserve"> Manila Motors    </v>
      </c>
    </row>
    <row r="41" spans="1:12" x14ac:dyDescent="0.25">
      <c r="A41">
        <v>40</v>
      </c>
      <c r="B41" s="1">
        <v>44674</v>
      </c>
      <c r="C41">
        <f t="shared" ca="1" si="0"/>
        <v>1</v>
      </c>
      <c r="D41">
        <f t="shared" ca="1" si="1"/>
        <v>2</v>
      </c>
      <c r="E41">
        <v>1</v>
      </c>
      <c r="F41" s="10">
        <f ca="1">Table2[[#This Row],[Quantity]]*(INDEX(Models!G:G,MATCH(Table2[[#This Row],[ModelID]],Models!A:A,0)))</f>
        <v>20000</v>
      </c>
      <c r="G41" s="10">
        <f ca="1">Table2[[#This Row],[Quantity]]*(INDEX(Models!H:H,MATCH(Table2[[#This Row],[ModelID]],Models!A:A,0)))</f>
        <v>2000</v>
      </c>
      <c r="H41" t="str">
        <f ca="1">VLOOKUP(Table2[[#This Row],[DealerID]], Dealers!A:D, 4,FALSE)</f>
        <v xml:space="preserve"> Malaysia     </v>
      </c>
      <c r="I41" t="str">
        <f ca="1">VLOOKUP(Table2[[#This Row],[ModelID]],Models!A:C,3,FALSE)</f>
        <v xml:space="preserve"> Corolla Altis   </v>
      </c>
      <c r="J41" s="5" t="str">
        <f ca="1">VLOOKUP(Table2[[#This Row],[ModelID]],Models!A:C,2,FALSE)</f>
        <v xml:space="preserve"> Toyota     </v>
      </c>
      <c r="K41" s="5" t="str">
        <f ca="1">VLOOKUP(Table2[[#This Row],[DealerID]], Dealers!A:D, 3,FALSE)</f>
        <v xml:space="preserve"> Kuala Lumpur   </v>
      </c>
      <c r="L41" s="5" t="str">
        <f ca="1">VLOOKUP(Table2[[#This Row],[DealerID]], Dealers!A:D, 2,FALSE)</f>
        <v xml:space="preserve"> ABC Motors       </v>
      </c>
    </row>
    <row r="42" spans="1:12" x14ac:dyDescent="0.25">
      <c r="A42">
        <v>41</v>
      </c>
      <c r="B42" s="1">
        <v>44677</v>
      </c>
      <c r="C42">
        <f t="shared" ca="1" si="0"/>
        <v>3</v>
      </c>
      <c r="D42">
        <f t="shared" ca="1" si="1"/>
        <v>4</v>
      </c>
      <c r="E42">
        <v>2</v>
      </c>
      <c r="F42" s="10">
        <f ca="1">Table2[[#This Row],[Quantity]]*(INDEX(Models!G:G,MATCH(Table2[[#This Row],[ModelID]],Models!A:A,0)))</f>
        <v>56000</v>
      </c>
      <c r="G42" s="10">
        <f ca="1">Table2[[#This Row],[Quantity]]*(INDEX(Models!H:H,MATCH(Table2[[#This Row],[ModelID]],Models!A:A,0)))</f>
        <v>5600</v>
      </c>
      <c r="H42" t="str">
        <f ca="1">VLOOKUP(Table2[[#This Row],[DealerID]], Dealers!A:D, 4,FALSE)</f>
        <v xml:space="preserve"> Singapore    </v>
      </c>
      <c r="I42" t="str">
        <f ca="1">VLOOKUP(Table2[[#This Row],[ModelID]],Models!A:C,3,FALSE)</f>
        <v xml:space="preserve"> CR-V            </v>
      </c>
      <c r="J42" s="5" t="str">
        <f ca="1">VLOOKUP(Table2[[#This Row],[ModelID]],Models!A:C,2,FALSE)</f>
        <v xml:space="preserve"> Honda      </v>
      </c>
      <c r="K42" s="5" t="str">
        <f ca="1">VLOOKUP(Table2[[#This Row],[DealerID]], Dealers!A:D, 3,FALSE)</f>
        <v xml:space="preserve"> Singapore      </v>
      </c>
      <c r="L42" s="5" t="str">
        <f ca="1">VLOOKUP(Table2[[#This Row],[DealerID]], Dealers!A:D, 2,FALSE)</f>
        <v xml:space="preserve"> Singapore Autos  </v>
      </c>
    </row>
    <row r="43" spans="1:12" x14ac:dyDescent="0.25">
      <c r="A43">
        <v>42</v>
      </c>
      <c r="B43" s="1">
        <v>44678</v>
      </c>
      <c r="C43">
        <f t="shared" ca="1" si="0"/>
        <v>1</v>
      </c>
      <c r="D43">
        <f t="shared" ca="1" si="1"/>
        <v>9</v>
      </c>
      <c r="E43">
        <v>1</v>
      </c>
      <c r="F43" s="10">
        <f ca="1">Table2[[#This Row],[Quantity]]*(INDEX(Models!G:G,MATCH(Table2[[#This Row],[ModelID]],Models!A:A,0)))</f>
        <v>18000</v>
      </c>
      <c r="G43" s="10">
        <f ca="1">Table2[[#This Row],[Quantity]]*(INDEX(Models!H:H,MATCH(Table2[[#This Row],[ModelID]],Models!A:A,0)))</f>
        <v>1800</v>
      </c>
      <c r="H43" t="str">
        <f ca="1">VLOOKUP(Table2[[#This Row],[DealerID]], Dealers!A:D, 4,FALSE)</f>
        <v xml:space="preserve"> Malaysia     </v>
      </c>
      <c r="I43" t="str">
        <f ca="1">VLOOKUP(Table2[[#This Row],[ModelID]],Models!A:C,3,FALSE)</f>
        <v xml:space="preserve"> Xpander         </v>
      </c>
      <c r="J43" s="5" t="str">
        <f ca="1">VLOOKUP(Table2[[#This Row],[ModelID]],Models!A:C,2,FALSE)</f>
        <v xml:space="preserve"> Mitsubishi </v>
      </c>
      <c r="K43" s="5" t="str">
        <f ca="1">VLOOKUP(Table2[[#This Row],[DealerID]], Dealers!A:D, 3,FALSE)</f>
        <v xml:space="preserve"> Kuala Lumpur   </v>
      </c>
      <c r="L43" s="5" t="str">
        <f ca="1">VLOOKUP(Table2[[#This Row],[DealerID]], Dealers!A:D, 2,FALSE)</f>
        <v xml:space="preserve"> ABC Motors       </v>
      </c>
    </row>
    <row r="44" spans="1:12" x14ac:dyDescent="0.25">
      <c r="A44">
        <v>43</v>
      </c>
      <c r="B44" s="1">
        <v>44679</v>
      </c>
      <c r="C44">
        <f t="shared" ca="1" si="0"/>
        <v>9</v>
      </c>
      <c r="D44">
        <f t="shared" ca="1" si="1"/>
        <v>15</v>
      </c>
      <c r="E44">
        <v>3</v>
      </c>
      <c r="F44" s="10">
        <f ca="1">Table2[[#This Row],[Quantity]]*(INDEX(Models!G:G,MATCH(Table2[[#This Row],[ModelID]],Models!A:A,0)))</f>
        <v>72000</v>
      </c>
      <c r="G44" s="10">
        <f ca="1">Table2[[#This Row],[Quantity]]*(INDEX(Models!H:H,MATCH(Table2[[#This Row],[ModelID]],Models!A:A,0)))</f>
        <v>7200</v>
      </c>
      <c r="H44" t="str">
        <f ca="1">VLOOKUP(Table2[[#This Row],[DealerID]], Dealers!A:D, 4,FALSE)</f>
        <v xml:space="preserve"> Philippines  </v>
      </c>
      <c r="I44" t="str">
        <f ca="1">VLOOKUP(Table2[[#This Row],[ModelID]],Models!A:C,3,FALSE)</f>
        <v xml:space="preserve"> Mazda3          </v>
      </c>
      <c r="J44" s="5" t="str">
        <f ca="1">VLOOKUP(Table2[[#This Row],[ModelID]],Models!A:C,2,FALSE)</f>
        <v xml:space="preserve"> Mazda      </v>
      </c>
      <c r="K44" s="5" t="str">
        <f ca="1">VLOOKUP(Table2[[#This Row],[DealerID]], Dealers!A:D, 3,FALSE)</f>
        <v xml:space="preserve"> Iloilo City    </v>
      </c>
      <c r="L44" s="5" t="str">
        <f ca="1">VLOOKUP(Table2[[#This Row],[DealerID]], Dealers!A:D, 2,FALSE)</f>
        <v xml:space="preserve"> Iloilo Motors    </v>
      </c>
    </row>
    <row r="45" spans="1:12" x14ac:dyDescent="0.25">
      <c r="A45">
        <v>44</v>
      </c>
      <c r="B45" s="1">
        <v>44680</v>
      </c>
      <c r="C45">
        <f t="shared" ca="1" si="0"/>
        <v>5</v>
      </c>
      <c r="D45">
        <f t="shared" ca="1" si="1"/>
        <v>6</v>
      </c>
      <c r="E45">
        <v>1</v>
      </c>
      <c r="F45" s="10">
        <f ca="1">Table2[[#This Row],[Quantity]]*(INDEX(Models!G:G,MATCH(Table2[[#This Row],[ModelID]],Models!A:A,0)))</f>
        <v>30000</v>
      </c>
      <c r="G45" s="10">
        <f ca="1">Table2[[#This Row],[Quantity]]*(INDEX(Models!H:H,MATCH(Table2[[#This Row],[ModelID]],Models!A:A,0)))</f>
        <v>3000</v>
      </c>
      <c r="H45" t="str">
        <f ca="1">VLOOKUP(Table2[[#This Row],[DealerID]], Dealers!A:D, 4,FALSE)</f>
        <v xml:space="preserve"> Philippines  </v>
      </c>
      <c r="I45" t="str">
        <f ca="1">VLOOKUP(Table2[[#This Row],[ModelID]],Models!A:C,3,FALSE)</f>
        <v xml:space="preserve"> Everest         </v>
      </c>
      <c r="J45" s="5" t="str">
        <f ca="1">VLOOKUP(Table2[[#This Row],[ModelID]],Models!A:C,2,FALSE)</f>
        <v xml:space="preserve"> Ford       </v>
      </c>
      <c r="K45" s="5" t="str">
        <f ca="1">VLOOKUP(Table2[[#This Row],[DealerID]], Dealers!A:D, 3,FALSE)</f>
        <v xml:space="preserve"> Cebu City      </v>
      </c>
      <c r="L45" s="5" t="str">
        <f ca="1">VLOOKUP(Table2[[#This Row],[DealerID]], Dealers!A:D, 2,FALSE)</f>
        <v xml:space="preserve"> Cebu Cars        </v>
      </c>
    </row>
    <row r="46" spans="1:12" x14ac:dyDescent="0.25">
      <c r="A46">
        <v>45</v>
      </c>
      <c r="B46" s="1">
        <v>44681</v>
      </c>
      <c r="C46">
        <f t="shared" ca="1" si="0"/>
        <v>1</v>
      </c>
      <c r="D46">
        <f t="shared" ca="1" si="1"/>
        <v>1</v>
      </c>
      <c r="E46">
        <v>2</v>
      </c>
      <c r="F46" s="10">
        <f ca="1">Table2[[#This Row],[Quantity]]*(INDEX(Models!G:G,MATCH(Table2[[#This Row],[ModelID]],Models!A:A,0)))</f>
        <v>30000</v>
      </c>
      <c r="G46" s="10">
        <f ca="1">Table2[[#This Row],[Quantity]]*(INDEX(Models!H:H,MATCH(Table2[[#This Row],[ModelID]],Models!A:A,0)))</f>
        <v>3000</v>
      </c>
      <c r="H46" t="str">
        <f ca="1">VLOOKUP(Table2[[#This Row],[DealerID]], Dealers!A:D, 4,FALSE)</f>
        <v xml:space="preserve"> Malaysia     </v>
      </c>
      <c r="I46" t="str">
        <f ca="1">VLOOKUP(Table2[[#This Row],[ModelID]],Models!A:C,3,FALSE)</f>
        <v xml:space="preserve"> Vios            </v>
      </c>
      <c r="J46" s="5" t="str">
        <f ca="1">VLOOKUP(Table2[[#This Row],[ModelID]],Models!A:C,2,FALSE)</f>
        <v xml:space="preserve"> Toyota     </v>
      </c>
      <c r="K46" s="5" t="str">
        <f ca="1">VLOOKUP(Table2[[#This Row],[DealerID]], Dealers!A:D, 3,FALSE)</f>
        <v xml:space="preserve"> Kuala Lumpur   </v>
      </c>
      <c r="L46" s="5" t="str">
        <f ca="1">VLOOKUP(Table2[[#This Row],[DealerID]], Dealers!A:D, 2,FALSE)</f>
        <v xml:space="preserve"> ABC Motors       </v>
      </c>
    </row>
    <row r="47" spans="1:12" x14ac:dyDescent="0.25">
      <c r="A47">
        <v>46</v>
      </c>
      <c r="B47" s="1">
        <v>44684</v>
      </c>
      <c r="C47">
        <f t="shared" ca="1" si="0"/>
        <v>8</v>
      </c>
      <c r="D47">
        <f t="shared" ca="1" si="1"/>
        <v>12</v>
      </c>
      <c r="E47">
        <v>1</v>
      </c>
      <c r="F47" s="10">
        <f ca="1">Table2[[#This Row],[Quantity]]*(INDEX(Models!G:G,MATCH(Table2[[#This Row],[ModelID]],Models!A:A,0)))</f>
        <v>34000</v>
      </c>
      <c r="G47" s="10">
        <f ca="1">Table2[[#This Row],[Quantity]]*(INDEX(Models!H:H,MATCH(Table2[[#This Row],[ModelID]],Models!A:A,0)))</f>
        <v>3400</v>
      </c>
      <c r="H47" t="str">
        <f ca="1">VLOOKUP(Table2[[#This Row],[DealerID]], Dealers!A:D, 4,FALSE)</f>
        <v xml:space="preserve"> Philippines  </v>
      </c>
      <c r="I47" t="str">
        <f ca="1">VLOOKUP(Table2[[#This Row],[ModelID]],Models!A:C,3,FALSE)</f>
        <v xml:space="preserve"> Santa Fe        </v>
      </c>
      <c r="J47" s="5" t="str">
        <f ca="1">VLOOKUP(Table2[[#This Row],[ModelID]],Models!A:C,2,FALSE)</f>
        <v xml:space="preserve"> Hyundai    </v>
      </c>
      <c r="K47" s="5" t="str">
        <f ca="1">VLOOKUP(Table2[[#This Row],[DealerID]], Dealers!A:D, 3,FALSE)</f>
        <v xml:space="preserve"> Bacolod City   </v>
      </c>
      <c r="L47" s="5" t="str">
        <f ca="1">VLOOKUP(Table2[[#This Row],[DealerID]], Dealers!A:D, 2,FALSE)</f>
        <v xml:space="preserve"> Bacolod Autos    </v>
      </c>
    </row>
    <row r="48" spans="1:12" x14ac:dyDescent="0.25">
      <c r="A48">
        <v>47</v>
      </c>
      <c r="B48" s="1">
        <v>44685</v>
      </c>
      <c r="C48">
        <f t="shared" ca="1" si="0"/>
        <v>1</v>
      </c>
      <c r="D48">
        <f t="shared" ca="1" si="1"/>
        <v>1</v>
      </c>
      <c r="E48">
        <v>1</v>
      </c>
      <c r="F48" s="10">
        <f ca="1">Table2[[#This Row],[Quantity]]*(INDEX(Models!G:G,MATCH(Table2[[#This Row],[ModelID]],Models!A:A,0)))</f>
        <v>15000</v>
      </c>
      <c r="G48" s="10">
        <f ca="1">Table2[[#This Row],[Quantity]]*(INDEX(Models!H:H,MATCH(Table2[[#This Row],[ModelID]],Models!A:A,0)))</f>
        <v>1500</v>
      </c>
      <c r="H48" t="str">
        <f ca="1">VLOOKUP(Table2[[#This Row],[DealerID]], Dealers!A:D, 4,FALSE)</f>
        <v xml:space="preserve"> Malaysia     </v>
      </c>
      <c r="I48" t="str">
        <f ca="1">VLOOKUP(Table2[[#This Row],[ModelID]],Models!A:C,3,FALSE)</f>
        <v xml:space="preserve"> Vios            </v>
      </c>
      <c r="J48" s="5" t="str">
        <f ca="1">VLOOKUP(Table2[[#This Row],[ModelID]],Models!A:C,2,FALSE)</f>
        <v xml:space="preserve"> Toyota     </v>
      </c>
      <c r="K48" s="5" t="str">
        <f ca="1">VLOOKUP(Table2[[#This Row],[DealerID]], Dealers!A:D, 3,FALSE)</f>
        <v xml:space="preserve"> Kuala Lumpur   </v>
      </c>
      <c r="L48" s="5" t="str">
        <f ca="1">VLOOKUP(Table2[[#This Row],[DealerID]], Dealers!A:D, 2,FALSE)</f>
        <v xml:space="preserve"> ABC Motors       </v>
      </c>
    </row>
    <row r="49" spans="1:12" x14ac:dyDescent="0.25">
      <c r="A49">
        <v>48</v>
      </c>
      <c r="B49" s="1">
        <v>44686</v>
      </c>
      <c r="C49">
        <f t="shared" ca="1" si="0"/>
        <v>8</v>
      </c>
      <c r="D49">
        <f t="shared" ca="1" si="1"/>
        <v>12</v>
      </c>
      <c r="E49">
        <v>3</v>
      </c>
      <c r="F49" s="10">
        <f ca="1">Table2[[#This Row],[Quantity]]*(INDEX(Models!G:G,MATCH(Table2[[#This Row],[ModelID]],Models!A:A,0)))</f>
        <v>102000</v>
      </c>
      <c r="G49" s="10">
        <f ca="1">Table2[[#This Row],[Quantity]]*(INDEX(Models!H:H,MATCH(Table2[[#This Row],[ModelID]],Models!A:A,0)))</f>
        <v>10200</v>
      </c>
      <c r="H49" t="str">
        <f ca="1">VLOOKUP(Table2[[#This Row],[DealerID]], Dealers!A:D, 4,FALSE)</f>
        <v xml:space="preserve"> Philippines  </v>
      </c>
      <c r="I49" t="str">
        <f ca="1">VLOOKUP(Table2[[#This Row],[ModelID]],Models!A:C,3,FALSE)</f>
        <v xml:space="preserve"> Santa Fe        </v>
      </c>
      <c r="J49" s="5" t="str">
        <f ca="1">VLOOKUP(Table2[[#This Row],[ModelID]],Models!A:C,2,FALSE)</f>
        <v xml:space="preserve"> Hyundai    </v>
      </c>
      <c r="K49" s="5" t="str">
        <f ca="1">VLOOKUP(Table2[[#This Row],[DealerID]], Dealers!A:D, 3,FALSE)</f>
        <v xml:space="preserve"> Bacolod City   </v>
      </c>
      <c r="L49" s="5" t="str">
        <f ca="1">VLOOKUP(Table2[[#This Row],[DealerID]], Dealers!A:D, 2,FALSE)</f>
        <v xml:space="preserve"> Bacolod Autos    </v>
      </c>
    </row>
    <row r="50" spans="1:12" x14ac:dyDescent="0.25">
      <c r="A50">
        <v>49</v>
      </c>
      <c r="B50" s="1">
        <v>44687</v>
      </c>
      <c r="C50">
        <f t="shared" ca="1" si="0"/>
        <v>5</v>
      </c>
      <c r="D50">
        <f t="shared" ca="1" si="1"/>
        <v>6</v>
      </c>
      <c r="E50">
        <v>1</v>
      </c>
      <c r="F50" s="10">
        <f ca="1">Table2[[#This Row],[Quantity]]*(INDEX(Models!G:G,MATCH(Table2[[#This Row],[ModelID]],Models!A:A,0)))</f>
        <v>30000</v>
      </c>
      <c r="G50" s="10">
        <f ca="1">Table2[[#This Row],[Quantity]]*(INDEX(Models!H:H,MATCH(Table2[[#This Row],[ModelID]],Models!A:A,0)))</f>
        <v>3000</v>
      </c>
      <c r="H50" t="str">
        <f ca="1">VLOOKUP(Table2[[#This Row],[DealerID]], Dealers!A:D, 4,FALSE)</f>
        <v xml:space="preserve"> Philippines  </v>
      </c>
      <c r="I50" t="str">
        <f ca="1">VLOOKUP(Table2[[#This Row],[ModelID]],Models!A:C,3,FALSE)</f>
        <v xml:space="preserve"> Everest         </v>
      </c>
      <c r="J50" s="5" t="str">
        <f ca="1">VLOOKUP(Table2[[#This Row],[ModelID]],Models!A:C,2,FALSE)</f>
        <v xml:space="preserve"> Ford       </v>
      </c>
      <c r="K50" s="5" t="str">
        <f ca="1">VLOOKUP(Table2[[#This Row],[DealerID]], Dealers!A:D, 3,FALSE)</f>
        <v xml:space="preserve"> Cebu City      </v>
      </c>
      <c r="L50" s="5" t="str">
        <f ca="1">VLOOKUP(Table2[[#This Row],[DealerID]], Dealers!A:D, 2,FALSE)</f>
        <v xml:space="preserve"> Cebu Cars        </v>
      </c>
    </row>
    <row r="51" spans="1:12" x14ac:dyDescent="0.25">
      <c r="A51">
        <v>50</v>
      </c>
      <c r="B51" s="1">
        <v>44688</v>
      </c>
      <c r="C51">
        <f t="shared" ca="1" si="0"/>
        <v>10</v>
      </c>
      <c r="D51">
        <f t="shared" ca="1" si="1"/>
        <v>4</v>
      </c>
      <c r="E51">
        <v>1</v>
      </c>
      <c r="F51" s="10">
        <f ca="1">Table2[[#This Row],[Quantity]]*(INDEX(Models!G:G,MATCH(Table2[[#This Row],[ModelID]],Models!A:A,0)))</f>
        <v>28000</v>
      </c>
      <c r="G51" s="10">
        <f ca="1">Table2[[#This Row],[Quantity]]*(INDEX(Models!H:H,MATCH(Table2[[#This Row],[ModelID]],Models!A:A,0)))</f>
        <v>2800</v>
      </c>
      <c r="H51" t="str">
        <f ca="1">VLOOKUP(Table2[[#This Row],[DealerID]], Dealers!A:D, 4,FALSE)</f>
        <v xml:space="preserve"> Philippines  </v>
      </c>
      <c r="I51" t="str">
        <f ca="1">VLOOKUP(Table2[[#This Row],[ModelID]],Models!A:C,3,FALSE)</f>
        <v xml:space="preserve"> CR-V            </v>
      </c>
      <c r="J51" s="5" t="str">
        <f ca="1">VLOOKUP(Table2[[#This Row],[ModelID]],Models!A:C,2,FALSE)</f>
        <v xml:space="preserve"> Honda      </v>
      </c>
      <c r="K51" s="5" t="str">
        <f ca="1">VLOOKUP(Table2[[#This Row],[DealerID]], Dealers!A:D, 3,FALSE)</f>
        <v xml:space="preserve"> Zamboanga City </v>
      </c>
      <c r="L51" s="5" t="str">
        <f ca="1">VLOOKUP(Table2[[#This Row],[DealerID]], Dealers!A:D, 2,FALSE)</f>
        <v xml:space="preserve"> Zamboanga Cars   </v>
      </c>
    </row>
    <row r="52" spans="1:12" x14ac:dyDescent="0.25">
      <c r="A52">
        <v>51</v>
      </c>
      <c r="B52" s="1">
        <v>44691</v>
      </c>
      <c r="C52">
        <f t="shared" ca="1" si="0"/>
        <v>9</v>
      </c>
      <c r="D52">
        <f t="shared" ca="1" si="1"/>
        <v>14</v>
      </c>
      <c r="E52">
        <v>2</v>
      </c>
      <c r="F52" s="10">
        <f ca="1">Table2[[#This Row],[Quantity]]*(INDEX(Models!G:G,MATCH(Table2[[#This Row],[ModelID]],Models!A:A,0)))</f>
        <v>50000</v>
      </c>
      <c r="G52" s="10">
        <f ca="1">Table2[[#This Row],[Quantity]]*(INDEX(Models!H:H,MATCH(Table2[[#This Row],[ModelID]],Models!A:A,0)))</f>
        <v>10000</v>
      </c>
      <c r="H52" t="str">
        <f ca="1">VLOOKUP(Table2[[#This Row],[DealerID]], Dealers!A:D, 4,FALSE)</f>
        <v xml:space="preserve"> Philippines  </v>
      </c>
      <c r="I52" t="str">
        <f ca="1">VLOOKUP(Table2[[#This Row],[ModelID]],Models!A:C,3,FALSE)</f>
        <v xml:space="preserve"> X70             </v>
      </c>
      <c r="J52" s="5" t="str">
        <f ca="1">VLOOKUP(Table2[[#This Row],[ModelID]],Models!A:C,2,FALSE)</f>
        <v xml:space="preserve"> Proton     </v>
      </c>
      <c r="K52" s="5" t="str">
        <f ca="1">VLOOKUP(Table2[[#This Row],[DealerID]], Dealers!A:D, 3,FALSE)</f>
        <v xml:space="preserve"> Iloilo City    </v>
      </c>
      <c r="L52" s="5" t="str">
        <f ca="1">VLOOKUP(Table2[[#This Row],[DealerID]], Dealers!A:D, 2,FALSE)</f>
        <v xml:space="preserve"> Iloilo Motors    </v>
      </c>
    </row>
    <row r="53" spans="1:12" x14ac:dyDescent="0.25">
      <c r="A53">
        <v>52</v>
      </c>
      <c r="B53" s="1">
        <v>44692</v>
      </c>
      <c r="C53">
        <f t="shared" ca="1" si="0"/>
        <v>6</v>
      </c>
      <c r="D53">
        <f t="shared" ca="1" si="1"/>
        <v>6</v>
      </c>
      <c r="E53">
        <v>1</v>
      </c>
      <c r="F53" s="10">
        <f ca="1">Table2[[#This Row],[Quantity]]*(INDEX(Models!G:G,MATCH(Table2[[#This Row],[ModelID]],Models!A:A,0)))</f>
        <v>30000</v>
      </c>
      <c r="G53" s="10">
        <f ca="1">Table2[[#This Row],[Quantity]]*(INDEX(Models!H:H,MATCH(Table2[[#This Row],[ModelID]],Models!A:A,0)))</f>
        <v>3000</v>
      </c>
      <c r="H53" t="str">
        <f ca="1">VLOOKUP(Table2[[#This Row],[DealerID]], Dealers!A:D, 4,FALSE)</f>
        <v xml:space="preserve"> Philippines  </v>
      </c>
      <c r="I53" t="str">
        <f ca="1">VLOOKUP(Table2[[#This Row],[ModelID]],Models!A:C,3,FALSE)</f>
        <v xml:space="preserve"> Everest         </v>
      </c>
      <c r="J53" s="5" t="str">
        <f ca="1">VLOOKUP(Table2[[#This Row],[ModelID]],Models!A:C,2,FALSE)</f>
        <v xml:space="preserve"> Ford       </v>
      </c>
      <c r="K53" s="5" t="str">
        <f ca="1">VLOOKUP(Table2[[#This Row],[DealerID]], Dealers!A:D, 3,FALSE)</f>
        <v xml:space="preserve"> Davao City     </v>
      </c>
      <c r="L53" s="5" t="str">
        <f ca="1">VLOOKUP(Table2[[#This Row],[DealerID]], Dealers!A:D, 2,FALSE)</f>
        <v xml:space="preserve"> Davao Dealers    </v>
      </c>
    </row>
    <row r="54" spans="1:12" x14ac:dyDescent="0.25">
      <c r="A54">
        <v>53</v>
      </c>
      <c r="B54" s="1">
        <v>44693</v>
      </c>
      <c r="C54">
        <f t="shared" ca="1" si="0"/>
        <v>4</v>
      </c>
      <c r="D54">
        <f t="shared" ca="1" si="1"/>
        <v>1</v>
      </c>
      <c r="E54">
        <v>3</v>
      </c>
      <c r="F54" s="10">
        <f ca="1">Table2[[#This Row],[Quantity]]*(INDEX(Models!G:G,MATCH(Table2[[#This Row],[ModelID]],Models!A:A,0)))</f>
        <v>45000</v>
      </c>
      <c r="G54" s="10">
        <f ca="1">Table2[[#This Row],[Quantity]]*(INDEX(Models!H:H,MATCH(Table2[[#This Row],[ModelID]],Models!A:A,0)))</f>
        <v>4500</v>
      </c>
      <c r="H54" t="str">
        <f ca="1">VLOOKUP(Table2[[#This Row],[DealerID]], Dealers!A:D, 4,FALSE)</f>
        <v xml:space="preserve"> Philippines  </v>
      </c>
      <c r="I54" t="str">
        <f ca="1">VLOOKUP(Table2[[#This Row],[ModelID]],Models!A:C,3,FALSE)</f>
        <v xml:space="preserve"> Vios            </v>
      </c>
      <c r="J54" s="5" t="str">
        <f ca="1">VLOOKUP(Table2[[#This Row],[ModelID]],Models!A:C,2,FALSE)</f>
        <v xml:space="preserve"> Toyota     </v>
      </c>
      <c r="K54" s="5" t="str">
        <f ca="1">VLOOKUP(Table2[[#This Row],[DealerID]], Dealers!A:D, 3,FALSE)</f>
        <v xml:space="preserve"> Manila         </v>
      </c>
      <c r="L54" s="5" t="str">
        <f ca="1">VLOOKUP(Table2[[#This Row],[DealerID]], Dealers!A:D, 2,FALSE)</f>
        <v xml:space="preserve"> Manila Motors    </v>
      </c>
    </row>
    <row r="55" spans="1:12" x14ac:dyDescent="0.25">
      <c r="A55">
        <v>54</v>
      </c>
      <c r="B55" s="1">
        <v>44694</v>
      </c>
      <c r="C55">
        <f t="shared" ca="1" si="0"/>
        <v>9</v>
      </c>
      <c r="D55">
        <f t="shared" ca="1" si="1"/>
        <v>5</v>
      </c>
      <c r="E55">
        <v>1</v>
      </c>
      <c r="F55" s="10">
        <f ca="1">Table2[[#This Row],[Quantity]]*(INDEX(Models!G:G,MATCH(Table2[[#This Row],[ModelID]],Models!A:A,0)))</f>
        <v>25000</v>
      </c>
      <c r="G55" s="10">
        <f ca="1">Table2[[#This Row],[Quantity]]*(INDEX(Models!H:H,MATCH(Table2[[#This Row],[ModelID]],Models!A:A,0)))</f>
        <v>2500</v>
      </c>
      <c r="H55" t="str">
        <f ca="1">VLOOKUP(Table2[[#This Row],[DealerID]], Dealers!A:D, 4,FALSE)</f>
        <v xml:space="preserve"> Philippines  </v>
      </c>
      <c r="I55" t="str">
        <f ca="1">VLOOKUP(Table2[[#This Row],[ModelID]],Models!A:C,3,FALSE)</f>
        <v xml:space="preserve"> Ranger          </v>
      </c>
      <c r="J55" s="5" t="str">
        <f ca="1">VLOOKUP(Table2[[#This Row],[ModelID]],Models!A:C,2,FALSE)</f>
        <v xml:space="preserve"> Ford       </v>
      </c>
      <c r="K55" s="5" t="str">
        <f ca="1">VLOOKUP(Table2[[#This Row],[DealerID]], Dealers!A:D, 3,FALSE)</f>
        <v xml:space="preserve"> Iloilo City    </v>
      </c>
      <c r="L55" s="5" t="str">
        <f ca="1">VLOOKUP(Table2[[#This Row],[DealerID]], Dealers!A:D, 2,FALSE)</f>
        <v xml:space="preserve"> Iloilo Motors    </v>
      </c>
    </row>
    <row r="56" spans="1:12" x14ac:dyDescent="0.25">
      <c r="A56">
        <v>55</v>
      </c>
      <c r="B56" s="1">
        <v>44695</v>
      </c>
      <c r="C56">
        <f t="shared" ca="1" si="0"/>
        <v>3</v>
      </c>
      <c r="D56">
        <f t="shared" ca="1" si="1"/>
        <v>6</v>
      </c>
      <c r="E56">
        <v>2</v>
      </c>
      <c r="F56" s="10">
        <f ca="1">Table2[[#This Row],[Quantity]]*(INDEX(Models!G:G,MATCH(Table2[[#This Row],[ModelID]],Models!A:A,0)))</f>
        <v>60000</v>
      </c>
      <c r="G56" s="10">
        <f ca="1">Table2[[#This Row],[Quantity]]*(INDEX(Models!H:H,MATCH(Table2[[#This Row],[ModelID]],Models!A:A,0)))</f>
        <v>6000</v>
      </c>
      <c r="H56" t="str">
        <f ca="1">VLOOKUP(Table2[[#This Row],[DealerID]], Dealers!A:D, 4,FALSE)</f>
        <v xml:space="preserve"> Singapore    </v>
      </c>
      <c r="I56" t="str">
        <f ca="1">VLOOKUP(Table2[[#This Row],[ModelID]],Models!A:C,3,FALSE)</f>
        <v xml:space="preserve"> Everest         </v>
      </c>
      <c r="J56" s="5" t="str">
        <f ca="1">VLOOKUP(Table2[[#This Row],[ModelID]],Models!A:C,2,FALSE)</f>
        <v xml:space="preserve"> Ford       </v>
      </c>
      <c r="K56" s="5" t="str">
        <f ca="1">VLOOKUP(Table2[[#This Row],[DealerID]], Dealers!A:D, 3,FALSE)</f>
        <v xml:space="preserve"> Singapore      </v>
      </c>
      <c r="L56" s="5" t="str">
        <f ca="1">VLOOKUP(Table2[[#This Row],[DealerID]], Dealers!A:D, 2,FALSE)</f>
        <v xml:space="preserve"> Singapore Autos  </v>
      </c>
    </row>
    <row r="57" spans="1:12" x14ac:dyDescent="0.25">
      <c r="A57">
        <v>56</v>
      </c>
      <c r="B57" s="1">
        <v>44698</v>
      </c>
      <c r="C57">
        <f t="shared" ca="1" si="0"/>
        <v>3</v>
      </c>
      <c r="D57">
        <f t="shared" ca="1" si="1"/>
        <v>12</v>
      </c>
      <c r="E57">
        <v>1</v>
      </c>
      <c r="F57" s="10">
        <f ca="1">Table2[[#This Row],[Quantity]]*(INDEX(Models!G:G,MATCH(Table2[[#This Row],[ModelID]],Models!A:A,0)))</f>
        <v>34000</v>
      </c>
      <c r="G57" s="10">
        <f ca="1">Table2[[#This Row],[Quantity]]*(INDEX(Models!H:H,MATCH(Table2[[#This Row],[ModelID]],Models!A:A,0)))</f>
        <v>3400</v>
      </c>
      <c r="H57" t="str">
        <f ca="1">VLOOKUP(Table2[[#This Row],[DealerID]], Dealers!A:D, 4,FALSE)</f>
        <v xml:space="preserve"> Singapore    </v>
      </c>
      <c r="I57" t="str">
        <f ca="1">VLOOKUP(Table2[[#This Row],[ModelID]],Models!A:C,3,FALSE)</f>
        <v xml:space="preserve"> Santa Fe        </v>
      </c>
      <c r="J57" s="5" t="str">
        <f ca="1">VLOOKUP(Table2[[#This Row],[ModelID]],Models!A:C,2,FALSE)</f>
        <v xml:space="preserve"> Hyundai    </v>
      </c>
      <c r="K57" s="5" t="str">
        <f ca="1">VLOOKUP(Table2[[#This Row],[DealerID]], Dealers!A:D, 3,FALSE)</f>
        <v xml:space="preserve"> Singapore      </v>
      </c>
      <c r="L57" s="5" t="str">
        <f ca="1">VLOOKUP(Table2[[#This Row],[DealerID]], Dealers!A:D, 2,FALSE)</f>
        <v xml:space="preserve"> Singapore Autos  </v>
      </c>
    </row>
    <row r="58" spans="1:12" x14ac:dyDescent="0.25">
      <c r="A58">
        <v>57</v>
      </c>
      <c r="B58" s="1">
        <v>44699</v>
      </c>
      <c r="C58">
        <f t="shared" ca="1" si="0"/>
        <v>5</v>
      </c>
      <c r="D58">
        <f t="shared" ca="1" si="1"/>
        <v>13</v>
      </c>
      <c r="E58">
        <v>1</v>
      </c>
      <c r="F58" s="10">
        <f ca="1">Table2[[#This Row],[Quantity]]*(INDEX(Models!G:G,MATCH(Table2[[#This Row],[ModelID]],Models!A:A,0)))</f>
        <v>12000</v>
      </c>
      <c r="G58" s="10">
        <f ca="1">Table2[[#This Row],[Quantity]]*(INDEX(Models!H:H,MATCH(Table2[[#This Row],[ModelID]],Models!A:A,0)))</f>
        <v>1200</v>
      </c>
      <c r="H58" t="str">
        <f ca="1">VLOOKUP(Table2[[#This Row],[DealerID]], Dealers!A:D, 4,FALSE)</f>
        <v xml:space="preserve"> Philippines  </v>
      </c>
      <c r="I58" t="str">
        <f ca="1">VLOOKUP(Table2[[#This Row],[ModelID]],Models!A:C,3,FALSE)</f>
        <v xml:space="preserve"> Persona         </v>
      </c>
      <c r="J58" s="5" t="str">
        <f ca="1">VLOOKUP(Table2[[#This Row],[ModelID]],Models!A:C,2,FALSE)</f>
        <v xml:space="preserve"> Proton     </v>
      </c>
      <c r="K58" s="5" t="str">
        <f ca="1">VLOOKUP(Table2[[#This Row],[DealerID]], Dealers!A:D, 3,FALSE)</f>
        <v xml:space="preserve"> Cebu City      </v>
      </c>
      <c r="L58" s="5" t="str">
        <f ca="1">VLOOKUP(Table2[[#This Row],[DealerID]], Dealers!A:D, 2,FALSE)</f>
        <v xml:space="preserve"> Cebu Cars        </v>
      </c>
    </row>
    <row r="59" spans="1:12" x14ac:dyDescent="0.25">
      <c r="A59">
        <v>58</v>
      </c>
      <c r="B59" s="1">
        <v>44700</v>
      </c>
      <c r="C59">
        <f t="shared" ca="1" si="0"/>
        <v>8</v>
      </c>
      <c r="D59">
        <f t="shared" ca="1" si="1"/>
        <v>3</v>
      </c>
      <c r="E59">
        <v>3</v>
      </c>
      <c r="F59" s="10">
        <f ca="1">Table2[[#This Row],[Quantity]]*(INDEX(Models!G:G,MATCH(Table2[[#This Row],[ModelID]],Models!A:A,0)))</f>
        <v>66000</v>
      </c>
      <c r="G59" s="10">
        <f ca="1">Table2[[#This Row],[Quantity]]*(INDEX(Models!H:H,MATCH(Table2[[#This Row],[ModelID]],Models!A:A,0)))</f>
        <v>13200</v>
      </c>
      <c r="H59" t="str">
        <f ca="1">VLOOKUP(Table2[[#This Row],[DealerID]], Dealers!A:D, 4,FALSE)</f>
        <v xml:space="preserve"> Philippines  </v>
      </c>
      <c r="I59" t="str">
        <f ca="1">VLOOKUP(Table2[[#This Row],[ModelID]],Models!A:C,3,FALSE)</f>
        <v xml:space="preserve"> Civic           </v>
      </c>
      <c r="J59" s="5" t="str">
        <f ca="1">VLOOKUP(Table2[[#This Row],[ModelID]],Models!A:C,2,FALSE)</f>
        <v xml:space="preserve"> Honda      </v>
      </c>
      <c r="K59" s="5" t="str">
        <f ca="1">VLOOKUP(Table2[[#This Row],[DealerID]], Dealers!A:D, 3,FALSE)</f>
        <v xml:space="preserve"> Bacolod City   </v>
      </c>
      <c r="L59" s="5" t="str">
        <f ca="1">VLOOKUP(Table2[[#This Row],[DealerID]], Dealers!A:D, 2,FALSE)</f>
        <v xml:space="preserve"> Bacolod Autos    </v>
      </c>
    </row>
    <row r="60" spans="1:12" x14ac:dyDescent="0.25">
      <c r="A60">
        <v>59</v>
      </c>
      <c r="B60" s="1">
        <v>44701</v>
      </c>
      <c r="C60">
        <f t="shared" ca="1" si="0"/>
        <v>9</v>
      </c>
      <c r="D60">
        <f t="shared" ca="1" si="1"/>
        <v>10</v>
      </c>
      <c r="E60">
        <v>1</v>
      </c>
      <c r="F60" s="10">
        <f ca="1">Table2[[#This Row],[Quantity]]*(INDEX(Models!G:G,MATCH(Table2[[#This Row],[ModelID]],Models!A:A,0)))</f>
        <v>32000</v>
      </c>
      <c r="G60" s="10">
        <f ca="1">Table2[[#This Row],[Quantity]]*(INDEX(Models!H:H,MATCH(Table2[[#This Row],[ModelID]],Models!A:A,0)))</f>
        <v>3200</v>
      </c>
      <c r="H60" t="str">
        <f ca="1">VLOOKUP(Table2[[#This Row],[DealerID]], Dealers!A:D, 4,FALSE)</f>
        <v xml:space="preserve"> Philippines  </v>
      </c>
      <c r="I60" t="str">
        <f ca="1">VLOOKUP(Table2[[#This Row],[ModelID]],Models!A:C,3,FALSE)</f>
        <v xml:space="preserve"> Outlander       </v>
      </c>
      <c r="J60" s="5" t="str">
        <f ca="1">VLOOKUP(Table2[[#This Row],[ModelID]],Models!A:C,2,FALSE)</f>
        <v xml:space="preserve"> Mitsubishi </v>
      </c>
      <c r="K60" s="5" t="str">
        <f ca="1">VLOOKUP(Table2[[#This Row],[DealerID]], Dealers!A:D, 3,FALSE)</f>
        <v xml:space="preserve"> Iloilo City    </v>
      </c>
      <c r="L60" s="5" t="str">
        <f ca="1">VLOOKUP(Table2[[#This Row],[DealerID]], Dealers!A:D, 2,FALSE)</f>
        <v xml:space="preserve"> Iloilo Motors    </v>
      </c>
    </row>
    <row r="61" spans="1:12" x14ac:dyDescent="0.25">
      <c r="A61">
        <v>60</v>
      </c>
      <c r="B61" s="1">
        <v>44702</v>
      </c>
      <c r="C61">
        <f t="shared" ca="1" si="0"/>
        <v>3</v>
      </c>
      <c r="D61">
        <f t="shared" ca="1" si="1"/>
        <v>15</v>
      </c>
      <c r="E61">
        <v>1</v>
      </c>
      <c r="F61" s="10">
        <f ca="1">Table2[[#This Row],[Quantity]]*(INDEX(Models!G:G,MATCH(Table2[[#This Row],[ModelID]],Models!A:A,0)))</f>
        <v>24000</v>
      </c>
      <c r="G61" s="10">
        <f ca="1">Table2[[#This Row],[Quantity]]*(INDEX(Models!H:H,MATCH(Table2[[#This Row],[ModelID]],Models!A:A,0)))</f>
        <v>2400</v>
      </c>
      <c r="H61" t="str">
        <f ca="1">VLOOKUP(Table2[[#This Row],[DealerID]], Dealers!A:D, 4,FALSE)</f>
        <v xml:space="preserve"> Singapore    </v>
      </c>
      <c r="I61" t="str">
        <f ca="1">VLOOKUP(Table2[[#This Row],[ModelID]],Models!A:C,3,FALSE)</f>
        <v xml:space="preserve"> Mazda3          </v>
      </c>
      <c r="J61" s="5" t="str">
        <f ca="1">VLOOKUP(Table2[[#This Row],[ModelID]],Models!A:C,2,FALSE)</f>
        <v xml:space="preserve"> Mazda      </v>
      </c>
      <c r="K61" s="5" t="str">
        <f ca="1">VLOOKUP(Table2[[#This Row],[DealerID]], Dealers!A:D, 3,FALSE)</f>
        <v xml:space="preserve"> Singapore      </v>
      </c>
      <c r="L61" s="5" t="str">
        <f ca="1">VLOOKUP(Table2[[#This Row],[DealerID]], Dealers!A:D, 2,FALSE)</f>
        <v xml:space="preserve"> Singapore Autos  </v>
      </c>
    </row>
    <row r="62" spans="1:12" x14ac:dyDescent="0.25">
      <c r="A62">
        <v>61</v>
      </c>
      <c r="B62" s="1">
        <v>44705</v>
      </c>
      <c r="C62">
        <f t="shared" ca="1" si="0"/>
        <v>8</v>
      </c>
      <c r="D62">
        <f t="shared" ca="1" si="1"/>
        <v>8</v>
      </c>
      <c r="E62">
        <v>2</v>
      </c>
      <c r="F62" s="10">
        <f ca="1">Table2[[#This Row],[Quantity]]*(INDEX(Models!G:G,MATCH(Table2[[#This Row],[ModelID]],Models!A:A,0)))</f>
        <v>52000</v>
      </c>
      <c r="G62" s="10">
        <f ca="1">Table2[[#This Row],[Quantity]]*(INDEX(Models!H:H,MATCH(Table2[[#This Row],[ModelID]],Models!A:A,0)))</f>
        <v>5200</v>
      </c>
      <c r="H62" t="str">
        <f ca="1">VLOOKUP(Table2[[#This Row],[DealerID]], Dealers!A:D, 4,FALSE)</f>
        <v xml:space="preserve"> Philippines  </v>
      </c>
      <c r="I62" t="str">
        <f ca="1">VLOOKUP(Table2[[#This Row],[ModelID]],Models!A:C,3,FALSE)</f>
        <v xml:space="preserve"> X-Trail         </v>
      </c>
      <c r="J62" s="5" t="str">
        <f ca="1">VLOOKUP(Table2[[#This Row],[ModelID]],Models!A:C,2,FALSE)</f>
        <v xml:space="preserve"> Nissan     </v>
      </c>
      <c r="K62" s="5" t="str">
        <f ca="1">VLOOKUP(Table2[[#This Row],[DealerID]], Dealers!A:D, 3,FALSE)</f>
        <v xml:space="preserve"> Bacolod City   </v>
      </c>
      <c r="L62" s="5" t="str">
        <f ca="1">VLOOKUP(Table2[[#This Row],[DealerID]], Dealers!A:D, 2,FALSE)</f>
        <v xml:space="preserve"> Bacolod Autos    </v>
      </c>
    </row>
    <row r="63" spans="1:12" x14ac:dyDescent="0.25">
      <c r="A63">
        <v>62</v>
      </c>
      <c r="B63" s="1">
        <v>44706</v>
      </c>
      <c r="C63">
        <f t="shared" ca="1" si="0"/>
        <v>2</v>
      </c>
      <c r="D63">
        <f t="shared" ca="1" si="1"/>
        <v>7</v>
      </c>
      <c r="E63">
        <v>1</v>
      </c>
      <c r="F63" s="10">
        <f ca="1">Table2[[#This Row],[Quantity]]*(INDEX(Models!G:G,MATCH(Table2[[#This Row],[ModelID]],Models!A:A,0)))</f>
        <v>14000</v>
      </c>
      <c r="G63" s="10">
        <f ca="1">Table2[[#This Row],[Quantity]]*(INDEX(Models!H:H,MATCH(Table2[[#This Row],[ModelID]],Models!A:A,0)))</f>
        <v>1400</v>
      </c>
      <c r="H63" t="str">
        <f ca="1">VLOOKUP(Table2[[#This Row],[DealerID]], Dealers!A:D, 4,FALSE)</f>
        <v xml:space="preserve"> Malaysia     </v>
      </c>
      <c r="I63" t="str">
        <f ca="1">VLOOKUP(Table2[[#This Row],[ModelID]],Models!A:C,3,FALSE)</f>
        <v xml:space="preserve"> Almera          </v>
      </c>
      <c r="J63" s="5" t="str">
        <f ca="1">VLOOKUP(Table2[[#This Row],[ModelID]],Models!A:C,2,FALSE)</f>
        <v xml:space="preserve"> Nissan     </v>
      </c>
      <c r="K63" s="5" t="str">
        <f ca="1">VLOOKUP(Table2[[#This Row],[DealerID]], Dealers!A:D, 3,FALSE)</f>
        <v xml:space="preserve"> George Town     </v>
      </c>
      <c r="L63" s="5" t="str">
        <f ca="1">VLOOKUP(Table2[[#This Row],[DealerID]], Dealers!A:D, 2,FALSE)</f>
        <v xml:space="preserve"> XYZ Cars         </v>
      </c>
    </row>
    <row r="64" spans="1:12" x14ac:dyDescent="0.25">
      <c r="A64">
        <v>63</v>
      </c>
      <c r="B64" s="1">
        <v>44707</v>
      </c>
      <c r="C64">
        <f t="shared" ca="1" si="0"/>
        <v>9</v>
      </c>
      <c r="D64">
        <f t="shared" ca="1" si="1"/>
        <v>13</v>
      </c>
      <c r="E64">
        <v>3</v>
      </c>
      <c r="F64" s="10">
        <f ca="1">Table2[[#This Row],[Quantity]]*(INDEX(Models!G:G,MATCH(Table2[[#This Row],[ModelID]],Models!A:A,0)))</f>
        <v>36000</v>
      </c>
      <c r="G64" s="10">
        <f ca="1">Table2[[#This Row],[Quantity]]*(INDEX(Models!H:H,MATCH(Table2[[#This Row],[ModelID]],Models!A:A,0)))</f>
        <v>3600</v>
      </c>
      <c r="H64" t="str">
        <f ca="1">VLOOKUP(Table2[[#This Row],[DealerID]], Dealers!A:D, 4,FALSE)</f>
        <v xml:space="preserve"> Philippines  </v>
      </c>
      <c r="I64" t="str">
        <f ca="1">VLOOKUP(Table2[[#This Row],[ModelID]],Models!A:C,3,FALSE)</f>
        <v xml:space="preserve"> Persona         </v>
      </c>
      <c r="J64" s="5" t="str">
        <f ca="1">VLOOKUP(Table2[[#This Row],[ModelID]],Models!A:C,2,FALSE)</f>
        <v xml:space="preserve"> Proton     </v>
      </c>
      <c r="K64" s="5" t="str">
        <f ca="1">VLOOKUP(Table2[[#This Row],[DealerID]], Dealers!A:D, 3,FALSE)</f>
        <v xml:space="preserve"> Iloilo City    </v>
      </c>
      <c r="L64" s="5" t="str">
        <f ca="1">VLOOKUP(Table2[[#This Row],[DealerID]], Dealers!A:D, 2,FALSE)</f>
        <v xml:space="preserve"> Iloilo Motors    </v>
      </c>
    </row>
    <row r="65" spans="1:12" x14ac:dyDescent="0.25">
      <c r="A65">
        <v>64</v>
      </c>
      <c r="B65" s="1">
        <v>44708</v>
      </c>
      <c r="C65">
        <f t="shared" ca="1" si="0"/>
        <v>8</v>
      </c>
      <c r="D65">
        <f t="shared" ca="1" si="1"/>
        <v>9</v>
      </c>
      <c r="E65">
        <v>1</v>
      </c>
      <c r="F65" s="10">
        <f ca="1">Table2[[#This Row],[Quantity]]*(INDEX(Models!G:G,MATCH(Table2[[#This Row],[ModelID]],Models!A:A,0)))</f>
        <v>18000</v>
      </c>
      <c r="G65" s="10">
        <f ca="1">Table2[[#This Row],[Quantity]]*(INDEX(Models!H:H,MATCH(Table2[[#This Row],[ModelID]],Models!A:A,0)))</f>
        <v>1800</v>
      </c>
      <c r="H65" t="str">
        <f ca="1">VLOOKUP(Table2[[#This Row],[DealerID]], Dealers!A:D, 4,FALSE)</f>
        <v xml:space="preserve"> Philippines  </v>
      </c>
      <c r="I65" t="str">
        <f ca="1">VLOOKUP(Table2[[#This Row],[ModelID]],Models!A:C,3,FALSE)</f>
        <v xml:space="preserve"> Xpander         </v>
      </c>
      <c r="J65" s="5" t="str">
        <f ca="1">VLOOKUP(Table2[[#This Row],[ModelID]],Models!A:C,2,FALSE)</f>
        <v xml:space="preserve"> Mitsubishi </v>
      </c>
      <c r="K65" s="5" t="str">
        <f ca="1">VLOOKUP(Table2[[#This Row],[DealerID]], Dealers!A:D, 3,FALSE)</f>
        <v xml:space="preserve"> Bacolod City   </v>
      </c>
      <c r="L65" s="5" t="str">
        <f ca="1">VLOOKUP(Table2[[#This Row],[DealerID]], Dealers!A:D, 2,FALSE)</f>
        <v xml:space="preserve"> Bacolod Autos    </v>
      </c>
    </row>
    <row r="66" spans="1:12" x14ac:dyDescent="0.25">
      <c r="A66">
        <v>65</v>
      </c>
      <c r="B66" s="1">
        <v>44709</v>
      </c>
      <c r="C66">
        <f t="shared" ca="1" si="0"/>
        <v>9</v>
      </c>
      <c r="D66">
        <f t="shared" ca="1" si="1"/>
        <v>13</v>
      </c>
      <c r="E66">
        <v>2</v>
      </c>
      <c r="F66" s="10">
        <f ca="1">Table2[[#This Row],[Quantity]]*(INDEX(Models!G:G,MATCH(Table2[[#This Row],[ModelID]],Models!A:A,0)))</f>
        <v>24000</v>
      </c>
      <c r="G66" s="10">
        <f ca="1">Table2[[#This Row],[Quantity]]*(INDEX(Models!H:H,MATCH(Table2[[#This Row],[ModelID]],Models!A:A,0)))</f>
        <v>2400</v>
      </c>
      <c r="H66" t="str">
        <f ca="1">VLOOKUP(Table2[[#This Row],[DealerID]], Dealers!A:D, 4,FALSE)</f>
        <v xml:space="preserve"> Philippines  </v>
      </c>
      <c r="I66" t="str">
        <f ca="1">VLOOKUP(Table2[[#This Row],[ModelID]],Models!A:C,3,FALSE)</f>
        <v xml:space="preserve"> Persona         </v>
      </c>
      <c r="J66" s="5" t="str">
        <f ca="1">VLOOKUP(Table2[[#This Row],[ModelID]],Models!A:C,2,FALSE)</f>
        <v xml:space="preserve"> Proton     </v>
      </c>
      <c r="K66" s="5" t="str">
        <f ca="1">VLOOKUP(Table2[[#This Row],[DealerID]], Dealers!A:D, 3,FALSE)</f>
        <v xml:space="preserve"> Iloilo City    </v>
      </c>
      <c r="L66" s="5" t="str">
        <f ca="1">VLOOKUP(Table2[[#This Row],[DealerID]], Dealers!A:D, 2,FALSE)</f>
        <v xml:space="preserve"> Iloilo Motors    </v>
      </c>
    </row>
    <row r="67" spans="1:12" x14ac:dyDescent="0.25">
      <c r="A67">
        <v>66</v>
      </c>
      <c r="B67" s="1">
        <v>44712</v>
      </c>
      <c r="C67">
        <f t="shared" ref="C67:C130" ca="1" si="2">RANDBETWEEN(1,10)</f>
        <v>1</v>
      </c>
      <c r="D67">
        <f t="shared" ref="D67:D130" ca="1" si="3">RANDBETWEEN(1,15)</f>
        <v>15</v>
      </c>
      <c r="E67">
        <v>1</v>
      </c>
      <c r="F67" s="10">
        <f ca="1">Table2[[#This Row],[Quantity]]*(INDEX(Models!G:G,MATCH(Table2[[#This Row],[ModelID]],Models!A:A,0)))</f>
        <v>24000</v>
      </c>
      <c r="G67" s="10">
        <f ca="1">Table2[[#This Row],[Quantity]]*(INDEX(Models!H:H,MATCH(Table2[[#This Row],[ModelID]],Models!A:A,0)))</f>
        <v>2400</v>
      </c>
      <c r="H67" t="str">
        <f ca="1">VLOOKUP(Table2[[#This Row],[DealerID]], Dealers!A:D, 4,FALSE)</f>
        <v xml:space="preserve"> Malaysia     </v>
      </c>
      <c r="I67" t="str">
        <f ca="1">VLOOKUP(Table2[[#This Row],[ModelID]],Models!A:C,3,FALSE)</f>
        <v xml:space="preserve"> Mazda3          </v>
      </c>
      <c r="J67" s="5" t="str">
        <f ca="1">VLOOKUP(Table2[[#This Row],[ModelID]],Models!A:C,2,FALSE)</f>
        <v xml:space="preserve"> Mazda      </v>
      </c>
      <c r="K67" s="5" t="str">
        <f ca="1">VLOOKUP(Table2[[#This Row],[DealerID]], Dealers!A:D, 3,FALSE)</f>
        <v xml:space="preserve"> Kuala Lumpur   </v>
      </c>
      <c r="L67" s="5" t="str">
        <f ca="1">VLOOKUP(Table2[[#This Row],[DealerID]], Dealers!A:D, 2,FALSE)</f>
        <v xml:space="preserve"> ABC Motors       </v>
      </c>
    </row>
    <row r="68" spans="1:12" x14ac:dyDescent="0.25">
      <c r="A68">
        <v>67</v>
      </c>
      <c r="B68" s="1">
        <v>44713</v>
      </c>
      <c r="C68">
        <f t="shared" ca="1" si="2"/>
        <v>1</v>
      </c>
      <c r="D68">
        <f t="shared" ca="1" si="3"/>
        <v>15</v>
      </c>
      <c r="E68">
        <v>1</v>
      </c>
      <c r="F68" s="10">
        <f ca="1">Table2[[#This Row],[Quantity]]*(INDEX(Models!G:G,MATCH(Table2[[#This Row],[ModelID]],Models!A:A,0)))</f>
        <v>24000</v>
      </c>
      <c r="G68" s="10">
        <f ca="1">Table2[[#This Row],[Quantity]]*(INDEX(Models!H:H,MATCH(Table2[[#This Row],[ModelID]],Models!A:A,0)))</f>
        <v>2400</v>
      </c>
      <c r="H68" t="str">
        <f ca="1">VLOOKUP(Table2[[#This Row],[DealerID]], Dealers!A:D, 4,FALSE)</f>
        <v xml:space="preserve"> Malaysia     </v>
      </c>
      <c r="I68" t="str">
        <f ca="1">VLOOKUP(Table2[[#This Row],[ModelID]],Models!A:C,3,FALSE)</f>
        <v xml:space="preserve"> Mazda3          </v>
      </c>
      <c r="J68" s="5" t="str">
        <f ca="1">VLOOKUP(Table2[[#This Row],[ModelID]],Models!A:C,2,FALSE)</f>
        <v xml:space="preserve"> Mazda      </v>
      </c>
      <c r="K68" s="5" t="str">
        <f ca="1">VLOOKUP(Table2[[#This Row],[DealerID]], Dealers!A:D, 3,FALSE)</f>
        <v xml:space="preserve"> Kuala Lumpur   </v>
      </c>
      <c r="L68" s="5" t="str">
        <f ca="1">VLOOKUP(Table2[[#This Row],[DealerID]], Dealers!A:D, 2,FALSE)</f>
        <v xml:space="preserve"> ABC Motors       </v>
      </c>
    </row>
    <row r="69" spans="1:12" x14ac:dyDescent="0.25">
      <c r="A69">
        <v>68</v>
      </c>
      <c r="B69" s="1">
        <v>44714</v>
      </c>
      <c r="C69">
        <f t="shared" ca="1" si="2"/>
        <v>7</v>
      </c>
      <c r="D69">
        <f t="shared" ca="1" si="3"/>
        <v>1</v>
      </c>
      <c r="E69">
        <v>3</v>
      </c>
      <c r="F69" s="10">
        <f ca="1">Table2[[#This Row],[Quantity]]*(INDEX(Models!G:G,MATCH(Table2[[#This Row],[ModelID]],Models!A:A,0)))</f>
        <v>45000</v>
      </c>
      <c r="G69" s="10">
        <f ca="1">Table2[[#This Row],[Quantity]]*(INDEX(Models!H:H,MATCH(Table2[[#This Row],[ModelID]],Models!A:A,0)))</f>
        <v>4500</v>
      </c>
      <c r="H69" t="str">
        <f ca="1">VLOOKUP(Table2[[#This Row],[DealerID]], Dealers!A:D, 4,FALSE)</f>
        <v xml:space="preserve"> Philippines  </v>
      </c>
      <c r="I69" t="str">
        <f ca="1">VLOOKUP(Table2[[#This Row],[ModelID]],Models!A:C,3,FALSE)</f>
        <v xml:space="preserve"> Vios            </v>
      </c>
      <c r="J69" s="5" t="str">
        <f ca="1">VLOOKUP(Table2[[#This Row],[ModelID]],Models!A:C,2,FALSE)</f>
        <v xml:space="preserve"> Toyota     </v>
      </c>
      <c r="K69" s="5" t="str">
        <f ca="1">VLOOKUP(Table2[[#This Row],[DealerID]], Dealers!A:D, 3,FALSE)</f>
        <v xml:space="preserve"> Quezon City    </v>
      </c>
      <c r="L69" s="5" t="str">
        <f ca="1">VLOOKUP(Table2[[#This Row],[DealerID]], Dealers!A:D, 2,FALSE)</f>
        <v xml:space="preserve"> Quezon Vehicles  </v>
      </c>
    </row>
    <row r="70" spans="1:12" x14ac:dyDescent="0.25">
      <c r="A70">
        <v>69</v>
      </c>
      <c r="B70" s="1">
        <v>44715</v>
      </c>
      <c r="C70">
        <f t="shared" ca="1" si="2"/>
        <v>3</v>
      </c>
      <c r="D70">
        <f t="shared" ca="1" si="3"/>
        <v>11</v>
      </c>
      <c r="E70">
        <v>1</v>
      </c>
      <c r="F70" s="10">
        <f ca="1">Table2[[#This Row],[Quantity]]*(INDEX(Models!G:G,MATCH(Table2[[#This Row],[ModelID]],Models!A:A,0)))</f>
        <v>16000</v>
      </c>
      <c r="G70" s="10">
        <f ca="1">Table2[[#This Row],[Quantity]]*(INDEX(Models!H:H,MATCH(Table2[[#This Row],[ModelID]],Models!A:A,0)))</f>
        <v>3200</v>
      </c>
      <c r="H70" t="str">
        <f ca="1">VLOOKUP(Table2[[#This Row],[DealerID]], Dealers!A:D, 4,FALSE)</f>
        <v xml:space="preserve"> Singapore    </v>
      </c>
      <c r="I70" t="str">
        <f ca="1">VLOOKUP(Table2[[#This Row],[ModelID]],Models!A:C,3,FALSE)</f>
        <v xml:space="preserve"> Accent          </v>
      </c>
      <c r="J70" s="5" t="str">
        <f ca="1">VLOOKUP(Table2[[#This Row],[ModelID]],Models!A:C,2,FALSE)</f>
        <v xml:space="preserve"> Hyundai    </v>
      </c>
      <c r="K70" s="5" t="str">
        <f ca="1">VLOOKUP(Table2[[#This Row],[DealerID]], Dealers!A:D, 3,FALSE)</f>
        <v xml:space="preserve"> Singapore      </v>
      </c>
      <c r="L70" s="5" t="str">
        <f ca="1">VLOOKUP(Table2[[#This Row],[DealerID]], Dealers!A:D, 2,FALSE)</f>
        <v xml:space="preserve"> Singapore Autos  </v>
      </c>
    </row>
    <row r="71" spans="1:12" x14ac:dyDescent="0.25">
      <c r="A71">
        <v>70</v>
      </c>
      <c r="B71" s="1">
        <v>44716</v>
      </c>
      <c r="C71">
        <f t="shared" ca="1" si="2"/>
        <v>6</v>
      </c>
      <c r="D71">
        <f t="shared" ca="1" si="3"/>
        <v>14</v>
      </c>
      <c r="E71">
        <v>1</v>
      </c>
      <c r="F71" s="10">
        <f ca="1">Table2[[#This Row],[Quantity]]*(INDEX(Models!G:G,MATCH(Table2[[#This Row],[ModelID]],Models!A:A,0)))</f>
        <v>25000</v>
      </c>
      <c r="G71" s="10">
        <f ca="1">Table2[[#This Row],[Quantity]]*(INDEX(Models!H:H,MATCH(Table2[[#This Row],[ModelID]],Models!A:A,0)))</f>
        <v>5000</v>
      </c>
      <c r="H71" t="str">
        <f ca="1">VLOOKUP(Table2[[#This Row],[DealerID]], Dealers!A:D, 4,FALSE)</f>
        <v xml:space="preserve"> Philippines  </v>
      </c>
      <c r="I71" t="str">
        <f ca="1">VLOOKUP(Table2[[#This Row],[ModelID]],Models!A:C,3,FALSE)</f>
        <v xml:space="preserve"> X70             </v>
      </c>
      <c r="J71" s="5" t="str">
        <f ca="1">VLOOKUP(Table2[[#This Row],[ModelID]],Models!A:C,2,FALSE)</f>
        <v xml:space="preserve"> Proton     </v>
      </c>
      <c r="K71" s="5" t="str">
        <f ca="1">VLOOKUP(Table2[[#This Row],[DealerID]], Dealers!A:D, 3,FALSE)</f>
        <v xml:space="preserve"> Davao City     </v>
      </c>
      <c r="L71" s="5" t="str">
        <f ca="1">VLOOKUP(Table2[[#This Row],[DealerID]], Dealers!A:D, 2,FALSE)</f>
        <v xml:space="preserve"> Davao Dealers    </v>
      </c>
    </row>
    <row r="72" spans="1:12" x14ac:dyDescent="0.25">
      <c r="A72">
        <v>71</v>
      </c>
      <c r="B72" s="1">
        <v>44719</v>
      </c>
      <c r="C72">
        <f t="shared" ca="1" si="2"/>
        <v>10</v>
      </c>
      <c r="D72">
        <f t="shared" ca="1" si="3"/>
        <v>15</v>
      </c>
      <c r="E72">
        <v>2</v>
      </c>
      <c r="F72" s="10">
        <f ca="1">Table2[[#This Row],[Quantity]]*(INDEX(Models!G:G,MATCH(Table2[[#This Row],[ModelID]],Models!A:A,0)))</f>
        <v>48000</v>
      </c>
      <c r="G72" s="10">
        <f ca="1">Table2[[#This Row],[Quantity]]*(INDEX(Models!H:H,MATCH(Table2[[#This Row],[ModelID]],Models!A:A,0)))</f>
        <v>4800</v>
      </c>
      <c r="H72" t="str">
        <f ca="1">VLOOKUP(Table2[[#This Row],[DealerID]], Dealers!A:D, 4,FALSE)</f>
        <v xml:space="preserve"> Philippines  </v>
      </c>
      <c r="I72" t="str">
        <f ca="1">VLOOKUP(Table2[[#This Row],[ModelID]],Models!A:C,3,FALSE)</f>
        <v xml:space="preserve"> Mazda3          </v>
      </c>
      <c r="J72" s="5" t="str">
        <f ca="1">VLOOKUP(Table2[[#This Row],[ModelID]],Models!A:C,2,FALSE)</f>
        <v xml:space="preserve"> Mazda      </v>
      </c>
      <c r="K72" s="5" t="str">
        <f ca="1">VLOOKUP(Table2[[#This Row],[DealerID]], Dealers!A:D, 3,FALSE)</f>
        <v xml:space="preserve"> Zamboanga City </v>
      </c>
      <c r="L72" s="5" t="str">
        <f ca="1">VLOOKUP(Table2[[#This Row],[DealerID]], Dealers!A:D, 2,FALSE)</f>
        <v xml:space="preserve"> Zamboanga Cars   </v>
      </c>
    </row>
    <row r="73" spans="1:12" x14ac:dyDescent="0.25">
      <c r="A73">
        <v>72</v>
      </c>
      <c r="B73" s="1">
        <v>44720</v>
      </c>
      <c r="C73">
        <f t="shared" ca="1" si="2"/>
        <v>8</v>
      </c>
      <c r="D73">
        <f t="shared" ca="1" si="3"/>
        <v>6</v>
      </c>
      <c r="E73">
        <v>1</v>
      </c>
      <c r="F73" s="10">
        <f ca="1">Table2[[#This Row],[Quantity]]*(INDEX(Models!G:G,MATCH(Table2[[#This Row],[ModelID]],Models!A:A,0)))</f>
        <v>30000</v>
      </c>
      <c r="G73" s="10">
        <f ca="1">Table2[[#This Row],[Quantity]]*(INDEX(Models!H:H,MATCH(Table2[[#This Row],[ModelID]],Models!A:A,0)))</f>
        <v>3000</v>
      </c>
      <c r="H73" t="str">
        <f ca="1">VLOOKUP(Table2[[#This Row],[DealerID]], Dealers!A:D, 4,FALSE)</f>
        <v xml:space="preserve"> Philippines  </v>
      </c>
      <c r="I73" t="str">
        <f ca="1">VLOOKUP(Table2[[#This Row],[ModelID]],Models!A:C,3,FALSE)</f>
        <v xml:space="preserve"> Everest         </v>
      </c>
      <c r="J73" s="5" t="str">
        <f ca="1">VLOOKUP(Table2[[#This Row],[ModelID]],Models!A:C,2,FALSE)</f>
        <v xml:space="preserve"> Ford       </v>
      </c>
      <c r="K73" s="5" t="str">
        <f ca="1">VLOOKUP(Table2[[#This Row],[DealerID]], Dealers!A:D, 3,FALSE)</f>
        <v xml:space="preserve"> Bacolod City   </v>
      </c>
      <c r="L73" s="5" t="str">
        <f ca="1">VLOOKUP(Table2[[#This Row],[DealerID]], Dealers!A:D, 2,FALSE)</f>
        <v xml:space="preserve"> Bacolod Autos    </v>
      </c>
    </row>
    <row r="74" spans="1:12" x14ac:dyDescent="0.25">
      <c r="A74">
        <v>73</v>
      </c>
      <c r="B74" s="1">
        <v>44721</v>
      </c>
      <c r="C74">
        <f t="shared" ca="1" si="2"/>
        <v>5</v>
      </c>
      <c r="D74">
        <f t="shared" ca="1" si="3"/>
        <v>10</v>
      </c>
      <c r="E74">
        <v>3</v>
      </c>
      <c r="F74" s="10">
        <f ca="1">Table2[[#This Row],[Quantity]]*(INDEX(Models!G:G,MATCH(Table2[[#This Row],[ModelID]],Models!A:A,0)))</f>
        <v>96000</v>
      </c>
      <c r="G74" s="10">
        <f ca="1">Table2[[#This Row],[Quantity]]*(INDEX(Models!H:H,MATCH(Table2[[#This Row],[ModelID]],Models!A:A,0)))</f>
        <v>9600</v>
      </c>
      <c r="H74" t="str">
        <f ca="1">VLOOKUP(Table2[[#This Row],[DealerID]], Dealers!A:D, 4,FALSE)</f>
        <v xml:space="preserve"> Philippines  </v>
      </c>
      <c r="I74" t="str">
        <f ca="1">VLOOKUP(Table2[[#This Row],[ModelID]],Models!A:C,3,FALSE)</f>
        <v xml:space="preserve"> Outlander       </v>
      </c>
      <c r="J74" s="5" t="str">
        <f ca="1">VLOOKUP(Table2[[#This Row],[ModelID]],Models!A:C,2,FALSE)</f>
        <v xml:space="preserve"> Mitsubishi </v>
      </c>
      <c r="K74" s="5" t="str">
        <f ca="1">VLOOKUP(Table2[[#This Row],[DealerID]], Dealers!A:D, 3,FALSE)</f>
        <v xml:space="preserve"> Cebu City      </v>
      </c>
      <c r="L74" s="5" t="str">
        <f ca="1">VLOOKUP(Table2[[#This Row],[DealerID]], Dealers!A:D, 2,FALSE)</f>
        <v xml:space="preserve"> Cebu Cars        </v>
      </c>
    </row>
    <row r="75" spans="1:12" x14ac:dyDescent="0.25">
      <c r="A75">
        <v>74</v>
      </c>
      <c r="B75" s="1">
        <v>44722</v>
      </c>
      <c r="C75">
        <f t="shared" ca="1" si="2"/>
        <v>5</v>
      </c>
      <c r="D75">
        <f t="shared" ca="1" si="3"/>
        <v>1</v>
      </c>
      <c r="E75">
        <v>1</v>
      </c>
      <c r="F75" s="10">
        <f ca="1">Table2[[#This Row],[Quantity]]*(INDEX(Models!G:G,MATCH(Table2[[#This Row],[ModelID]],Models!A:A,0)))</f>
        <v>15000</v>
      </c>
      <c r="G75" s="10">
        <f ca="1">Table2[[#This Row],[Quantity]]*(INDEX(Models!H:H,MATCH(Table2[[#This Row],[ModelID]],Models!A:A,0)))</f>
        <v>1500</v>
      </c>
      <c r="H75" t="str">
        <f ca="1">VLOOKUP(Table2[[#This Row],[DealerID]], Dealers!A:D, 4,FALSE)</f>
        <v xml:space="preserve"> Philippines  </v>
      </c>
      <c r="I75" t="str">
        <f ca="1">VLOOKUP(Table2[[#This Row],[ModelID]],Models!A:C,3,FALSE)</f>
        <v xml:space="preserve"> Vios            </v>
      </c>
      <c r="J75" s="5" t="str">
        <f ca="1">VLOOKUP(Table2[[#This Row],[ModelID]],Models!A:C,2,FALSE)</f>
        <v xml:space="preserve"> Toyota     </v>
      </c>
      <c r="K75" s="5" t="str">
        <f ca="1">VLOOKUP(Table2[[#This Row],[DealerID]], Dealers!A:D, 3,FALSE)</f>
        <v xml:space="preserve"> Cebu City      </v>
      </c>
      <c r="L75" s="5" t="str">
        <f ca="1">VLOOKUP(Table2[[#This Row],[DealerID]], Dealers!A:D, 2,FALSE)</f>
        <v xml:space="preserve"> Cebu Cars        </v>
      </c>
    </row>
    <row r="76" spans="1:12" x14ac:dyDescent="0.25">
      <c r="A76">
        <v>75</v>
      </c>
      <c r="B76" s="1">
        <v>44723</v>
      </c>
      <c r="C76">
        <f t="shared" ca="1" si="2"/>
        <v>4</v>
      </c>
      <c r="D76">
        <f t="shared" ca="1" si="3"/>
        <v>15</v>
      </c>
      <c r="E76">
        <v>2</v>
      </c>
      <c r="F76" s="10">
        <f ca="1">Table2[[#This Row],[Quantity]]*(INDEX(Models!G:G,MATCH(Table2[[#This Row],[ModelID]],Models!A:A,0)))</f>
        <v>48000</v>
      </c>
      <c r="G76" s="10">
        <f ca="1">Table2[[#This Row],[Quantity]]*(INDEX(Models!H:H,MATCH(Table2[[#This Row],[ModelID]],Models!A:A,0)))</f>
        <v>4800</v>
      </c>
      <c r="H76" t="str">
        <f ca="1">VLOOKUP(Table2[[#This Row],[DealerID]], Dealers!A:D, 4,FALSE)</f>
        <v xml:space="preserve"> Philippines  </v>
      </c>
      <c r="I76" t="str">
        <f ca="1">VLOOKUP(Table2[[#This Row],[ModelID]],Models!A:C,3,FALSE)</f>
        <v xml:space="preserve"> Mazda3          </v>
      </c>
      <c r="J76" s="5" t="str">
        <f ca="1">VLOOKUP(Table2[[#This Row],[ModelID]],Models!A:C,2,FALSE)</f>
        <v xml:space="preserve"> Mazda      </v>
      </c>
      <c r="K76" s="5" t="str">
        <f ca="1">VLOOKUP(Table2[[#This Row],[DealerID]], Dealers!A:D, 3,FALSE)</f>
        <v xml:space="preserve"> Manila         </v>
      </c>
      <c r="L76" s="5" t="str">
        <f ca="1">VLOOKUP(Table2[[#This Row],[DealerID]], Dealers!A:D, 2,FALSE)</f>
        <v xml:space="preserve"> Manila Motors    </v>
      </c>
    </row>
    <row r="77" spans="1:12" x14ac:dyDescent="0.25">
      <c r="A77">
        <v>76</v>
      </c>
      <c r="B77" s="1">
        <v>44726</v>
      </c>
      <c r="C77">
        <f t="shared" ca="1" si="2"/>
        <v>6</v>
      </c>
      <c r="D77">
        <f t="shared" ca="1" si="3"/>
        <v>4</v>
      </c>
      <c r="E77">
        <v>1</v>
      </c>
      <c r="F77" s="10">
        <f ca="1">Table2[[#This Row],[Quantity]]*(INDEX(Models!G:G,MATCH(Table2[[#This Row],[ModelID]],Models!A:A,0)))</f>
        <v>28000</v>
      </c>
      <c r="G77" s="10">
        <f ca="1">Table2[[#This Row],[Quantity]]*(INDEX(Models!H:H,MATCH(Table2[[#This Row],[ModelID]],Models!A:A,0)))</f>
        <v>2800</v>
      </c>
      <c r="H77" t="str">
        <f ca="1">VLOOKUP(Table2[[#This Row],[DealerID]], Dealers!A:D, 4,FALSE)</f>
        <v xml:space="preserve"> Philippines  </v>
      </c>
      <c r="I77" t="str">
        <f ca="1">VLOOKUP(Table2[[#This Row],[ModelID]],Models!A:C,3,FALSE)</f>
        <v xml:space="preserve"> CR-V            </v>
      </c>
      <c r="J77" s="5" t="str">
        <f ca="1">VLOOKUP(Table2[[#This Row],[ModelID]],Models!A:C,2,FALSE)</f>
        <v xml:space="preserve"> Honda      </v>
      </c>
      <c r="K77" s="5" t="str">
        <f ca="1">VLOOKUP(Table2[[#This Row],[DealerID]], Dealers!A:D, 3,FALSE)</f>
        <v xml:space="preserve"> Davao City     </v>
      </c>
      <c r="L77" s="5" t="str">
        <f ca="1">VLOOKUP(Table2[[#This Row],[DealerID]], Dealers!A:D, 2,FALSE)</f>
        <v xml:space="preserve"> Davao Dealers    </v>
      </c>
    </row>
    <row r="78" spans="1:12" x14ac:dyDescent="0.25">
      <c r="A78">
        <v>77</v>
      </c>
      <c r="B78" s="1">
        <v>44727</v>
      </c>
      <c r="C78">
        <f t="shared" ca="1" si="2"/>
        <v>4</v>
      </c>
      <c r="D78">
        <f t="shared" ca="1" si="3"/>
        <v>3</v>
      </c>
      <c r="E78">
        <v>1</v>
      </c>
      <c r="F78" s="10">
        <f ca="1">Table2[[#This Row],[Quantity]]*(INDEX(Models!G:G,MATCH(Table2[[#This Row],[ModelID]],Models!A:A,0)))</f>
        <v>22000</v>
      </c>
      <c r="G78" s="10">
        <f ca="1">Table2[[#This Row],[Quantity]]*(INDEX(Models!H:H,MATCH(Table2[[#This Row],[ModelID]],Models!A:A,0)))</f>
        <v>4400</v>
      </c>
      <c r="H78" t="str">
        <f ca="1">VLOOKUP(Table2[[#This Row],[DealerID]], Dealers!A:D, 4,FALSE)</f>
        <v xml:space="preserve"> Philippines  </v>
      </c>
      <c r="I78" t="str">
        <f ca="1">VLOOKUP(Table2[[#This Row],[ModelID]],Models!A:C,3,FALSE)</f>
        <v xml:space="preserve"> Civic           </v>
      </c>
      <c r="J78" s="5" t="str">
        <f ca="1">VLOOKUP(Table2[[#This Row],[ModelID]],Models!A:C,2,FALSE)</f>
        <v xml:space="preserve"> Honda      </v>
      </c>
      <c r="K78" s="5" t="str">
        <f ca="1">VLOOKUP(Table2[[#This Row],[DealerID]], Dealers!A:D, 3,FALSE)</f>
        <v xml:space="preserve"> Manila         </v>
      </c>
      <c r="L78" s="5" t="str">
        <f ca="1">VLOOKUP(Table2[[#This Row],[DealerID]], Dealers!A:D, 2,FALSE)</f>
        <v xml:space="preserve"> Manila Motors    </v>
      </c>
    </row>
    <row r="79" spans="1:12" x14ac:dyDescent="0.25">
      <c r="A79">
        <v>78</v>
      </c>
      <c r="B79" s="1">
        <v>44728</v>
      </c>
      <c r="C79">
        <f t="shared" ca="1" si="2"/>
        <v>8</v>
      </c>
      <c r="D79">
        <f t="shared" ca="1" si="3"/>
        <v>7</v>
      </c>
      <c r="E79">
        <v>3</v>
      </c>
      <c r="F79" s="10">
        <f ca="1">Table2[[#This Row],[Quantity]]*(INDEX(Models!G:G,MATCH(Table2[[#This Row],[ModelID]],Models!A:A,0)))</f>
        <v>42000</v>
      </c>
      <c r="G79" s="10">
        <f ca="1">Table2[[#This Row],[Quantity]]*(INDEX(Models!H:H,MATCH(Table2[[#This Row],[ModelID]],Models!A:A,0)))</f>
        <v>4200</v>
      </c>
      <c r="H79" t="str">
        <f ca="1">VLOOKUP(Table2[[#This Row],[DealerID]], Dealers!A:D, 4,FALSE)</f>
        <v xml:space="preserve"> Philippines  </v>
      </c>
      <c r="I79" t="str">
        <f ca="1">VLOOKUP(Table2[[#This Row],[ModelID]],Models!A:C,3,FALSE)</f>
        <v xml:space="preserve"> Almera          </v>
      </c>
      <c r="J79" s="5" t="str">
        <f ca="1">VLOOKUP(Table2[[#This Row],[ModelID]],Models!A:C,2,FALSE)</f>
        <v xml:space="preserve"> Nissan     </v>
      </c>
      <c r="K79" s="5" t="str">
        <f ca="1">VLOOKUP(Table2[[#This Row],[DealerID]], Dealers!A:D, 3,FALSE)</f>
        <v xml:space="preserve"> Bacolod City   </v>
      </c>
      <c r="L79" s="5" t="str">
        <f ca="1">VLOOKUP(Table2[[#This Row],[DealerID]], Dealers!A:D, 2,FALSE)</f>
        <v xml:space="preserve"> Bacolod Autos    </v>
      </c>
    </row>
    <row r="80" spans="1:12" x14ac:dyDescent="0.25">
      <c r="A80">
        <v>79</v>
      </c>
      <c r="B80" s="1">
        <v>44729</v>
      </c>
      <c r="C80">
        <f t="shared" ca="1" si="2"/>
        <v>3</v>
      </c>
      <c r="D80">
        <f t="shared" ca="1" si="3"/>
        <v>3</v>
      </c>
      <c r="E80">
        <v>1</v>
      </c>
      <c r="F80" s="10">
        <f ca="1">Table2[[#This Row],[Quantity]]*(INDEX(Models!G:G,MATCH(Table2[[#This Row],[ModelID]],Models!A:A,0)))</f>
        <v>22000</v>
      </c>
      <c r="G80" s="10">
        <f ca="1">Table2[[#This Row],[Quantity]]*(INDEX(Models!H:H,MATCH(Table2[[#This Row],[ModelID]],Models!A:A,0)))</f>
        <v>4400</v>
      </c>
      <c r="H80" t="str">
        <f ca="1">VLOOKUP(Table2[[#This Row],[DealerID]], Dealers!A:D, 4,FALSE)</f>
        <v xml:space="preserve"> Singapore    </v>
      </c>
      <c r="I80" t="str">
        <f ca="1">VLOOKUP(Table2[[#This Row],[ModelID]],Models!A:C,3,FALSE)</f>
        <v xml:space="preserve"> Civic           </v>
      </c>
      <c r="J80" s="5" t="str">
        <f ca="1">VLOOKUP(Table2[[#This Row],[ModelID]],Models!A:C,2,FALSE)</f>
        <v xml:space="preserve"> Honda      </v>
      </c>
      <c r="K80" s="5" t="str">
        <f ca="1">VLOOKUP(Table2[[#This Row],[DealerID]], Dealers!A:D, 3,FALSE)</f>
        <v xml:space="preserve"> Singapore      </v>
      </c>
      <c r="L80" s="5" t="str">
        <f ca="1">VLOOKUP(Table2[[#This Row],[DealerID]], Dealers!A:D, 2,FALSE)</f>
        <v xml:space="preserve"> Singapore Autos  </v>
      </c>
    </row>
    <row r="81" spans="1:12" x14ac:dyDescent="0.25">
      <c r="A81">
        <v>80</v>
      </c>
      <c r="B81" s="1">
        <v>44730</v>
      </c>
      <c r="C81">
        <f t="shared" ca="1" si="2"/>
        <v>8</v>
      </c>
      <c r="D81">
        <f t="shared" ca="1" si="3"/>
        <v>10</v>
      </c>
      <c r="E81">
        <v>1</v>
      </c>
      <c r="F81" s="10">
        <f ca="1">Table2[[#This Row],[Quantity]]*(INDEX(Models!G:G,MATCH(Table2[[#This Row],[ModelID]],Models!A:A,0)))</f>
        <v>32000</v>
      </c>
      <c r="G81" s="10">
        <f ca="1">Table2[[#This Row],[Quantity]]*(INDEX(Models!H:H,MATCH(Table2[[#This Row],[ModelID]],Models!A:A,0)))</f>
        <v>3200</v>
      </c>
      <c r="H81" t="str">
        <f ca="1">VLOOKUP(Table2[[#This Row],[DealerID]], Dealers!A:D, 4,FALSE)</f>
        <v xml:space="preserve"> Philippines  </v>
      </c>
      <c r="I81" t="str">
        <f ca="1">VLOOKUP(Table2[[#This Row],[ModelID]],Models!A:C,3,FALSE)</f>
        <v xml:space="preserve"> Outlander       </v>
      </c>
      <c r="J81" s="5" t="str">
        <f ca="1">VLOOKUP(Table2[[#This Row],[ModelID]],Models!A:C,2,FALSE)</f>
        <v xml:space="preserve"> Mitsubishi </v>
      </c>
      <c r="K81" s="5" t="str">
        <f ca="1">VLOOKUP(Table2[[#This Row],[DealerID]], Dealers!A:D, 3,FALSE)</f>
        <v xml:space="preserve"> Bacolod City   </v>
      </c>
      <c r="L81" s="5" t="str">
        <f ca="1">VLOOKUP(Table2[[#This Row],[DealerID]], Dealers!A:D, 2,FALSE)</f>
        <v xml:space="preserve"> Bacolod Autos    </v>
      </c>
    </row>
    <row r="82" spans="1:12" x14ac:dyDescent="0.25">
      <c r="A82">
        <v>81</v>
      </c>
      <c r="B82" s="1">
        <v>44733</v>
      </c>
      <c r="C82">
        <f t="shared" ca="1" si="2"/>
        <v>5</v>
      </c>
      <c r="D82">
        <f t="shared" ca="1" si="3"/>
        <v>10</v>
      </c>
      <c r="E82">
        <v>2</v>
      </c>
      <c r="F82" s="10">
        <f ca="1">Table2[[#This Row],[Quantity]]*(INDEX(Models!G:G,MATCH(Table2[[#This Row],[ModelID]],Models!A:A,0)))</f>
        <v>64000</v>
      </c>
      <c r="G82" s="10">
        <f ca="1">Table2[[#This Row],[Quantity]]*(INDEX(Models!H:H,MATCH(Table2[[#This Row],[ModelID]],Models!A:A,0)))</f>
        <v>6400</v>
      </c>
      <c r="H82" t="str">
        <f ca="1">VLOOKUP(Table2[[#This Row],[DealerID]], Dealers!A:D, 4,FALSE)</f>
        <v xml:space="preserve"> Philippines  </v>
      </c>
      <c r="I82" t="str">
        <f ca="1">VLOOKUP(Table2[[#This Row],[ModelID]],Models!A:C,3,FALSE)</f>
        <v xml:space="preserve"> Outlander       </v>
      </c>
      <c r="J82" s="5" t="str">
        <f ca="1">VLOOKUP(Table2[[#This Row],[ModelID]],Models!A:C,2,FALSE)</f>
        <v xml:space="preserve"> Mitsubishi </v>
      </c>
      <c r="K82" s="5" t="str">
        <f ca="1">VLOOKUP(Table2[[#This Row],[DealerID]], Dealers!A:D, 3,FALSE)</f>
        <v xml:space="preserve"> Cebu City      </v>
      </c>
      <c r="L82" s="5" t="str">
        <f ca="1">VLOOKUP(Table2[[#This Row],[DealerID]], Dealers!A:D, 2,FALSE)</f>
        <v xml:space="preserve"> Cebu Cars        </v>
      </c>
    </row>
    <row r="83" spans="1:12" x14ac:dyDescent="0.25">
      <c r="A83">
        <v>82</v>
      </c>
      <c r="B83" s="1">
        <v>44734</v>
      </c>
      <c r="C83">
        <f t="shared" ca="1" si="2"/>
        <v>10</v>
      </c>
      <c r="D83">
        <f t="shared" ca="1" si="3"/>
        <v>8</v>
      </c>
      <c r="E83">
        <v>1</v>
      </c>
      <c r="F83" s="10">
        <f ca="1">Table2[[#This Row],[Quantity]]*(INDEX(Models!G:G,MATCH(Table2[[#This Row],[ModelID]],Models!A:A,0)))</f>
        <v>26000</v>
      </c>
      <c r="G83" s="10">
        <f ca="1">Table2[[#This Row],[Quantity]]*(INDEX(Models!H:H,MATCH(Table2[[#This Row],[ModelID]],Models!A:A,0)))</f>
        <v>2600</v>
      </c>
      <c r="H83" t="str">
        <f ca="1">VLOOKUP(Table2[[#This Row],[DealerID]], Dealers!A:D, 4,FALSE)</f>
        <v xml:space="preserve"> Philippines  </v>
      </c>
      <c r="I83" t="str">
        <f ca="1">VLOOKUP(Table2[[#This Row],[ModelID]],Models!A:C,3,FALSE)</f>
        <v xml:space="preserve"> X-Trail         </v>
      </c>
      <c r="J83" s="5" t="str">
        <f ca="1">VLOOKUP(Table2[[#This Row],[ModelID]],Models!A:C,2,FALSE)</f>
        <v xml:space="preserve"> Nissan     </v>
      </c>
      <c r="K83" s="5" t="str">
        <f ca="1">VLOOKUP(Table2[[#This Row],[DealerID]], Dealers!A:D, 3,FALSE)</f>
        <v xml:space="preserve"> Zamboanga City </v>
      </c>
      <c r="L83" s="5" t="str">
        <f ca="1">VLOOKUP(Table2[[#This Row],[DealerID]], Dealers!A:D, 2,FALSE)</f>
        <v xml:space="preserve"> Zamboanga Cars   </v>
      </c>
    </row>
    <row r="84" spans="1:12" x14ac:dyDescent="0.25">
      <c r="A84">
        <v>83</v>
      </c>
      <c r="B84" s="1">
        <v>44735</v>
      </c>
      <c r="C84">
        <f t="shared" ca="1" si="2"/>
        <v>5</v>
      </c>
      <c r="D84">
        <f t="shared" ca="1" si="3"/>
        <v>5</v>
      </c>
      <c r="E84">
        <v>3</v>
      </c>
      <c r="F84" s="10">
        <f ca="1">Table2[[#This Row],[Quantity]]*(INDEX(Models!G:G,MATCH(Table2[[#This Row],[ModelID]],Models!A:A,0)))</f>
        <v>75000</v>
      </c>
      <c r="G84" s="10">
        <f ca="1">Table2[[#This Row],[Quantity]]*(INDEX(Models!H:H,MATCH(Table2[[#This Row],[ModelID]],Models!A:A,0)))</f>
        <v>7500</v>
      </c>
      <c r="H84" t="str">
        <f ca="1">VLOOKUP(Table2[[#This Row],[DealerID]], Dealers!A:D, 4,FALSE)</f>
        <v xml:space="preserve"> Philippines  </v>
      </c>
      <c r="I84" t="str">
        <f ca="1">VLOOKUP(Table2[[#This Row],[ModelID]],Models!A:C,3,FALSE)</f>
        <v xml:space="preserve"> Ranger          </v>
      </c>
      <c r="J84" s="5" t="str">
        <f ca="1">VLOOKUP(Table2[[#This Row],[ModelID]],Models!A:C,2,FALSE)</f>
        <v xml:space="preserve"> Ford       </v>
      </c>
      <c r="K84" s="5" t="str">
        <f ca="1">VLOOKUP(Table2[[#This Row],[DealerID]], Dealers!A:D, 3,FALSE)</f>
        <v xml:space="preserve"> Cebu City      </v>
      </c>
      <c r="L84" s="5" t="str">
        <f ca="1">VLOOKUP(Table2[[#This Row],[DealerID]], Dealers!A:D, 2,FALSE)</f>
        <v xml:space="preserve"> Cebu Cars        </v>
      </c>
    </row>
    <row r="85" spans="1:12" x14ac:dyDescent="0.25">
      <c r="A85">
        <v>84</v>
      </c>
      <c r="B85" s="1">
        <v>44736</v>
      </c>
      <c r="C85">
        <f t="shared" ca="1" si="2"/>
        <v>5</v>
      </c>
      <c r="D85">
        <f t="shared" ca="1" si="3"/>
        <v>3</v>
      </c>
      <c r="E85">
        <v>1</v>
      </c>
      <c r="F85" s="10">
        <f ca="1">Table2[[#This Row],[Quantity]]*(INDEX(Models!G:G,MATCH(Table2[[#This Row],[ModelID]],Models!A:A,0)))</f>
        <v>22000</v>
      </c>
      <c r="G85" s="10">
        <f ca="1">Table2[[#This Row],[Quantity]]*(INDEX(Models!H:H,MATCH(Table2[[#This Row],[ModelID]],Models!A:A,0)))</f>
        <v>4400</v>
      </c>
      <c r="H85" t="str">
        <f ca="1">VLOOKUP(Table2[[#This Row],[DealerID]], Dealers!A:D, 4,FALSE)</f>
        <v xml:space="preserve"> Philippines  </v>
      </c>
      <c r="I85" t="str">
        <f ca="1">VLOOKUP(Table2[[#This Row],[ModelID]],Models!A:C,3,FALSE)</f>
        <v xml:space="preserve"> Civic           </v>
      </c>
      <c r="J85" s="5" t="str">
        <f ca="1">VLOOKUP(Table2[[#This Row],[ModelID]],Models!A:C,2,FALSE)</f>
        <v xml:space="preserve"> Honda      </v>
      </c>
      <c r="K85" s="5" t="str">
        <f ca="1">VLOOKUP(Table2[[#This Row],[DealerID]], Dealers!A:D, 3,FALSE)</f>
        <v xml:space="preserve"> Cebu City      </v>
      </c>
      <c r="L85" s="5" t="str">
        <f ca="1">VLOOKUP(Table2[[#This Row],[DealerID]], Dealers!A:D, 2,FALSE)</f>
        <v xml:space="preserve"> Cebu Cars        </v>
      </c>
    </row>
    <row r="86" spans="1:12" x14ac:dyDescent="0.25">
      <c r="A86">
        <v>85</v>
      </c>
      <c r="B86" s="1">
        <v>44737</v>
      </c>
      <c r="C86">
        <f t="shared" ca="1" si="2"/>
        <v>10</v>
      </c>
      <c r="D86">
        <f t="shared" ca="1" si="3"/>
        <v>2</v>
      </c>
      <c r="E86">
        <v>2</v>
      </c>
      <c r="F86" s="10">
        <f ca="1">Table2[[#This Row],[Quantity]]*(INDEX(Models!G:G,MATCH(Table2[[#This Row],[ModelID]],Models!A:A,0)))</f>
        <v>40000</v>
      </c>
      <c r="G86" s="10">
        <f ca="1">Table2[[#This Row],[Quantity]]*(INDEX(Models!H:H,MATCH(Table2[[#This Row],[ModelID]],Models!A:A,0)))</f>
        <v>4000</v>
      </c>
      <c r="H86" t="str">
        <f ca="1">VLOOKUP(Table2[[#This Row],[DealerID]], Dealers!A:D, 4,FALSE)</f>
        <v xml:space="preserve"> Philippines  </v>
      </c>
      <c r="I86" t="str">
        <f ca="1">VLOOKUP(Table2[[#This Row],[ModelID]],Models!A:C,3,FALSE)</f>
        <v xml:space="preserve"> Corolla Altis   </v>
      </c>
      <c r="J86" s="5" t="str">
        <f ca="1">VLOOKUP(Table2[[#This Row],[ModelID]],Models!A:C,2,FALSE)</f>
        <v xml:space="preserve"> Toyota     </v>
      </c>
      <c r="K86" s="5" t="str">
        <f ca="1">VLOOKUP(Table2[[#This Row],[DealerID]], Dealers!A:D, 3,FALSE)</f>
        <v xml:space="preserve"> Zamboanga City </v>
      </c>
      <c r="L86" s="5" t="str">
        <f ca="1">VLOOKUP(Table2[[#This Row],[DealerID]], Dealers!A:D, 2,FALSE)</f>
        <v xml:space="preserve"> Zamboanga Cars   </v>
      </c>
    </row>
    <row r="87" spans="1:12" x14ac:dyDescent="0.25">
      <c r="A87">
        <v>86</v>
      </c>
      <c r="B87" s="1">
        <v>44740</v>
      </c>
      <c r="C87">
        <f t="shared" ca="1" si="2"/>
        <v>9</v>
      </c>
      <c r="D87">
        <f t="shared" ca="1" si="3"/>
        <v>14</v>
      </c>
      <c r="E87">
        <v>1</v>
      </c>
      <c r="F87" s="10">
        <f ca="1">Table2[[#This Row],[Quantity]]*(INDEX(Models!G:G,MATCH(Table2[[#This Row],[ModelID]],Models!A:A,0)))</f>
        <v>25000</v>
      </c>
      <c r="G87" s="10">
        <f ca="1">Table2[[#This Row],[Quantity]]*(INDEX(Models!H:H,MATCH(Table2[[#This Row],[ModelID]],Models!A:A,0)))</f>
        <v>5000</v>
      </c>
      <c r="H87" t="str">
        <f ca="1">VLOOKUP(Table2[[#This Row],[DealerID]], Dealers!A:D, 4,FALSE)</f>
        <v xml:space="preserve"> Philippines  </v>
      </c>
      <c r="I87" t="str">
        <f ca="1">VLOOKUP(Table2[[#This Row],[ModelID]],Models!A:C,3,FALSE)</f>
        <v xml:space="preserve"> X70             </v>
      </c>
      <c r="J87" s="5" t="str">
        <f ca="1">VLOOKUP(Table2[[#This Row],[ModelID]],Models!A:C,2,FALSE)</f>
        <v xml:space="preserve"> Proton     </v>
      </c>
      <c r="K87" s="5" t="str">
        <f ca="1">VLOOKUP(Table2[[#This Row],[DealerID]], Dealers!A:D, 3,FALSE)</f>
        <v xml:space="preserve"> Iloilo City    </v>
      </c>
      <c r="L87" s="5" t="str">
        <f ca="1">VLOOKUP(Table2[[#This Row],[DealerID]], Dealers!A:D, 2,FALSE)</f>
        <v xml:space="preserve"> Iloilo Motors    </v>
      </c>
    </row>
    <row r="88" spans="1:12" x14ac:dyDescent="0.25">
      <c r="A88">
        <v>87</v>
      </c>
      <c r="B88" s="1">
        <v>44741</v>
      </c>
      <c r="C88">
        <f t="shared" ca="1" si="2"/>
        <v>3</v>
      </c>
      <c r="D88">
        <f t="shared" ca="1" si="3"/>
        <v>13</v>
      </c>
      <c r="E88">
        <v>1</v>
      </c>
      <c r="F88" s="10">
        <f ca="1">Table2[[#This Row],[Quantity]]*(INDEX(Models!G:G,MATCH(Table2[[#This Row],[ModelID]],Models!A:A,0)))</f>
        <v>12000</v>
      </c>
      <c r="G88" s="10">
        <f ca="1">Table2[[#This Row],[Quantity]]*(INDEX(Models!H:H,MATCH(Table2[[#This Row],[ModelID]],Models!A:A,0)))</f>
        <v>1200</v>
      </c>
      <c r="H88" t="str">
        <f ca="1">VLOOKUP(Table2[[#This Row],[DealerID]], Dealers!A:D, 4,FALSE)</f>
        <v xml:space="preserve"> Singapore    </v>
      </c>
      <c r="I88" t="str">
        <f ca="1">VLOOKUP(Table2[[#This Row],[ModelID]],Models!A:C,3,FALSE)</f>
        <v xml:space="preserve"> Persona         </v>
      </c>
      <c r="J88" s="5" t="str">
        <f ca="1">VLOOKUP(Table2[[#This Row],[ModelID]],Models!A:C,2,FALSE)</f>
        <v xml:space="preserve"> Proton     </v>
      </c>
      <c r="K88" s="5" t="str">
        <f ca="1">VLOOKUP(Table2[[#This Row],[DealerID]], Dealers!A:D, 3,FALSE)</f>
        <v xml:space="preserve"> Singapore      </v>
      </c>
      <c r="L88" s="5" t="str">
        <f ca="1">VLOOKUP(Table2[[#This Row],[DealerID]], Dealers!A:D, 2,FALSE)</f>
        <v xml:space="preserve"> Singapore Autos  </v>
      </c>
    </row>
    <row r="89" spans="1:12" x14ac:dyDescent="0.25">
      <c r="A89">
        <v>88</v>
      </c>
      <c r="B89" s="1">
        <v>44742</v>
      </c>
      <c r="C89">
        <f t="shared" ca="1" si="2"/>
        <v>4</v>
      </c>
      <c r="D89">
        <f t="shared" ca="1" si="3"/>
        <v>2</v>
      </c>
      <c r="E89">
        <v>3</v>
      </c>
      <c r="F89" s="10">
        <f ca="1">Table2[[#This Row],[Quantity]]*(INDEX(Models!G:G,MATCH(Table2[[#This Row],[ModelID]],Models!A:A,0)))</f>
        <v>60000</v>
      </c>
      <c r="G89" s="10">
        <f ca="1">Table2[[#This Row],[Quantity]]*(INDEX(Models!H:H,MATCH(Table2[[#This Row],[ModelID]],Models!A:A,0)))</f>
        <v>6000</v>
      </c>
      <c r="H89" t="str">
        <f ca="1">VLOOKUP(Table2[[#This Row],[DealerID]], Dealers!A:D, 4,FALSE)</f>
        <v xml:space="preserve"> Philippines  </v>
      </c>
      <c r="I89" t="str">
        <f ca="1">VLOOKUP(Table2[[#This Row],[ModelID]],Models!A:C,3,FALSE)</f>
        <v xml:space="preserve"> Corolla Altis   </v>
      </c>
      <c r="J89" s="5" t="str">
        <f ca="1">VLOOKUP(Table2[[#This Row],[ModelID]],Models!A:C,2,FALSE)</f>
        <v xml:space="preserve"> Toyota     </v>
      </c>
      <c r="K89" s="5" t="str">
        <f ca="1">VLOOKUP(Table2[[#This Row],[DealerID]], Dealers!A:D, 3,FALSE)</f>
        <v xml:space="preserve"> Manila         </v>
      </c>
      <c r="L89" s="5" t="str">
        <f ca="1">VLOOKUP(Table2[[#This Row],[DealerID]], Dealers!A:D, 2,FALSE)</f>
        <v xml:space="preserve"> Manila Motors    </v>
      </c>
    </row>
    <row r="90" spans="1:12" x14ac:dyDescent="0.25">
      <c r="A90">
        <v>89</v>
      </c>
      <c r="B90" s="1">
        <v>44743</v>
      </c>
      <c r="C90">
        <f t="shared" ca="1" si="2"/>
        <v>10</v>
      </c>
      <c r="D90">
        <f t="shared" ca="1" si="3"/>
        <v>10</v>
      </c>
      <c r="E90">
        <v>1</v>
      </c>
      <c r="F90" s="10">
        <f ca="1">Table2[[#This Row],[Quantity]]*(INDEX(Models!G:G,MATCH(Table2[[#This Row],[ModelID]],Models!A:A,0)))</f>
        <v>32000</v>
      </c>
      <c r="G90" s="10">
        <f ca="1">Table2[[#This Row],[Quantity]]*(INDEX(Models!H:H,MATCH(Table2[[#This Row],[ModelID]],Models!A:A,0)))</f>
        <v>3200</v>
      </c>
      <c r="H90" t="str">
        <f ca="1">VLOOKUP(Table2[[#This Row],[DealerID]], Dealers!A:D, 4,FALSE)</f>
        <v xml:space="preserve"> Philippines  </v>
      </c>
      <c r="I90" t="str">
        <f ca="1">VLOOKUP(Table2[[#This Row],[ModelID]],Models!A:C,3,FALSE)</f>
        <v xml:space="preserve"> Outlander       </v>
      </c>
      <c r="J90" s="5" t="str">
        <f ca="1">VLOOKUP(Table2[[#This Row],[ModelID]],Models!A:C,2,FALSE)</f>
        <v xml:space="preserve"> Mitsubishi </v>
      </c>
      <c r="K90" s="5" t="str">
        <f ca="1">VLOOKUP(Table2[[#This Row],[DealerID]], Dealers!A:D, 3,FALSE)</f>
        <v xml:space="preserve"> Zamboanga City </v>
      </c>
      <c r="L90" s="5" t="str">
        <f ca="1">VLOOKUP(Table2[[#This Row],[DealerID]], Dealers!A:D, 2,FALSE)</f>
        <v xml:space="preserve"> Zamboanga Cars   </v>
      </c>
    </row>
    <row r="91" spans="1:12" x14ac:dyDescent="0.25">
      <c r="A91">
        <v>90</v>
      </c>
      <c r="B91" s="1">
        <v>44744</v>
      </c>
      <c r="C91">
        <f t="shared" ca="1" si="2"/>
        <v>10</v>
      </c>
      <c r="D91">
        <f t="shared" ca="1" si="3"/>
        <v>13</v>
      </c>
      <c r="E91">
        <v>1</v>
      </c>
      <c r="F91" s="10">
        <f ca="1">Table2[[#This Row],[Quantity]]*(INDEX(Models!G:G,MATCH(Table2[[#This Row],[ModelID]],Models!A:A,0)))</f>
        <v>12000</v>
      </c>
      <c r="G91" s="10">
        <f ca="1">Table2[[#This Row],[Quantity]]*(INDEX(Models!H:H,MATCH(Table2[[#This Row],[ModelID]],Models!A:A,0)))</f>
        <v>1200</v>
      </c>
      <c r="H91" t="str">
        <f ca="1">VLOOKUP(Table2[[#This Row],[DealerID]], Dealers!A:D, 4,FALSE)</f>
        <v xml:space="preserve"> Philippines  </v>
      </c>
      <c r="I91" t="str">
        <f ca="1">VLOOKUP(Table2[[#This Row],[ModelID]],Models!A:C,3,FALSE)</f>
        <v xml:space="preserve"> Persona         </v>
      </c>
      <c r="J91" s="5" t="str">
        <f ca="1">VLOOKUP(Table2[[#This Row],[ModelID]],Models!A:C,2,FALSE)</f>
        <v xml:space="preserve"> Proton     </v>
      </c>
      <c r="K91" s="5" t="str">
        <f ca="1">VLOOKUP(Table2[[#This Row],[DealerID]], Dealers!A:D, 3,FALSE)</f>
        <v xml:space="preserve"> Zamboanga City </v>
      </c>
      <c r="L91" s="5" t="str">
        <f ca="1">VLOOKUP(Table2[[#This Row],[DealerID]], Dealers!A:D, 2,FALSE)</f>
        <v xml:space="preserve"> Zamboanga Cars   </v>
      </c>
    </row>
    <row r="92" spans="1:12" x14ac:dyDescent="0.25">
      <c r="A92">
        <v>91</v>
      </c>
      <c r="B92" s="1">
        <v>44747</v>
      </c>
      <c r="C92">
        <f t="shared" ca="1" si="2"/>
        <v>7</v>
      </c>
      <c r="D92">
        <f t="shared" ca="1" si="3"/>
        <v>14</v>
      </c>
      <c r="E92">
        <v>2</v>
      </c>
      <c r="F92" s="10">
        <f ca="1">Table2[[#This Row],[Quantity]]*(INDEX(Models!G:G,MATCH(Table2[[#This Row],[ModelID]],Models!A:A,0)))</f>
        <v>50000</v>
      </c>
      <c r="G92" s="10">
        <f ca="1">Table2[[#This Row],[Quantity]]*(INDEX(Models!H:H,MATCH(Table2[[#This Row],[ModelID]],Models!A:A,0)))</f>
        <v>10000</v>
      </c>
      <c r="H92" t="str">
        <f ca="1">VLOOKUP(Table2[[#This Row],[DealerID]], Dealers!A:D, 4,FALSE)</f>
        <v xml:space="preserve"> Philippines  </v>
      </c>
      <c r="I92" t="str">
        <f ca="1">VLOOKUP(Table2[[#This Row],[ModelID]],Models!A:C,3,FALSE)</f>
        <v xml:space="preserve"> X70             </v>
      </c>
      <c r="J92" s="5" t="str">
        <f ca="1">VLOOKUP(Table2[[#This Row],[ModelID]],Models!A:C,2,FALSE)</f>
        <v xml:space="preserve"> Proton     </v>
      </c>
      <c r="K92" s="5" t="str">
        <f ca="1">VLOOKUP(Table2[[#This Row],[DealerID]], Dealers!A:D, 3,FALSE)</f>
        <v xml:space="preserve"> Quezon City    </v>
      </c>
      <c r="L92" s="5" t="str">
        <f ca="1">VLOOKUP(Table2[[#This Row],[DealerID]], Dealers!A:D, 2,FALSE)</f>
        <v xml:space="preserve"> Quezon Vehicles  </v>
      </c>
    </row>
    <row r="93" spans="1:12" x14ac:dyDescent="0.25">
      <c r="A93">
        <v>92</v>
      </c>
      <c r="B93" s="1">
        <v>44748</v>
      </c>
      <c r="C93">
        <f t="shared" ca="1" si="2"/>
        <v>10</v>
      </c>
      <c r="D93">
        <f t="shared" ca="1" si="3"/>
        <v>1</v>
      </c>
      <c r="E93">
        <v>1</v>
      </c>
      <c r="F93" s="10">
        <f ca="1">Table2[[#This Row],[Quantity]]*(INDEX(Models!G:G,MATCH(Table2[[#This Row],[ModelID]],Models!A:A,0)))</f>
        <v>15000</v>
      </c>
      <c r="G93" s="10">
        <f ca="1">Table2[[#This Row],[Quantity]]*(INDEX(Models!H:H,MATCH(Table2[[#This Row],[ModelID]],Models!A:A,0)))</f>
        <v>1500</v>
      </c>
      <c r="H93" t="str">
        <f ca="1">VLOOKUP(Table2[[#This Row],[DealerID]], Dealers!A:D, 4,FALSE)</f>
        <v xml:space="preserve"> Philippines  </v>
      </c>
      <c r="I93" t="str">
        <f ca="1">VLOOKUP(Table2[[#This Row],[ModelID]],Models!A:C,3,FALSE)</f>
        <v xml:space="preserve"> Vios            </v>
      </c>
      <c r="J93" s="5" t="str">
        <f ca="1">VLOOKUP(Table2[[#This Row],[ModelID]],Models!A:C,2,FALSE)</f>
        <v xml:space="preserve"> Toyota     </v>
      </c>
      <c r="K93" s="5" t="str">
        <f ca="1">VLOOKUP(Table2[[#This Row],[DealerID]], Dealers!A:D, 3,FALSE)</f>
        <v xml:space="preserve"> Zamboanga City </v>
      </c>
      <c r="L93" s="5" t="str">
        <f ca="1">VLOOKUP(Table2[[#This Row],[DealerID]], Dealers!A:D, 2,FALSE)</f>
        <v xml:space="preserve"> Zamboanga Cars   </v>
      </c>
    </row>
    <row r="94" spans="1:12" x14ac:dyDescent="0.25">
      <c r="A94">
        <v>93</v>
      </c>
      <c r="B94" s="1">
        <v>44749</v>
      </c>
      <c r="C94">
        <f t="shared" ca="1" si="2"/>
        <v>2</v>
      </c>
      <c r="D94">
        <f t="shared" ca="1" si="3"/>
        <v>10</v>
      </c>
      <c r="E94">
        <v>3</v>
      </c>
      <c r="F94" s="10">
        <f ca="1">Table2[[#This Row],[Quantity]]*(INDEX(Models!G:G,MATCH(Table2[[#This Row],[ModelID]],Models!A:A,0)))</f>
        <v>96000</v>
      </c>
      <c r="G94" s="10">
        <f ca="1">Table2[[#This Row],[Quantity]]*(INDEX(Models!H:H,MATCH(Table2[[#This Row],[ModelID]],Models!A:A,0)))</f>
        <v>9600</v>
      </c>
      <c r="H94" t="str">
        <f ca="1">VLOOKUP(Table2[[#This Row],[DealerID]], Dealers!A:D, 4,FALSE)</f>
        <v xml:space="preserve"> Malaysia     </v>
      </c>
      <c r="I94" t="str">
        <f ca="1">VLOOKUP(Table2[[#This Row],[ModelID]],Models!A:C,3,FALSE)</f>
        <v xml:space="preserve"> Outlander       </v>
      </c>
      <c r="J94" s="5" t="str">
        <f ca="1">VLOOKUP(Table2[[#This Row],[ModelID]],Models!A:C,2,FALSE)</f>
        <v xml:space="preserve"> Mitsubishi </v>
      </c>
      <c r="K94" s="5" t="str">
        <f ca="1">VLOOKUP(Table2[[#This Row],[DealerID]], Dealers!A:D, 3,FALSE)</f>
        <v xml:space="preserve"> George Town     </v>
      </c>
      <c r="L94" s="5" t="str">
        <f ca="1">VLOOKUP(Table2[[#This Row],[DealerID]], Dealers!A:D, 2,FALSE)</f>
        <v xml:space="preserve"> XYZ Cars         </v>
      </c>
    </row>
    <row r="95" spans="1:12" x14ac:dyDescent="0.25">
      <c r="A95">
        <v>94</v>
      </c>
      <c r="B95" s="1">
        <v>44750</v>
      </c>
      <c r="C95">
        <f t="shared" ca="1" si="2"/>
        <v>9</v>
      </c>
      <c r="D95">
        <f t="shared" ca="1" si="3"/>
        <v>5</v>
      </c>
      <c r="E95">
        <v>1</v>
      </c>
      <c r="F95" s="10">
        <f ca="1">Table2[[#This Row],[Quantity]]*(INDEX(Models!G:G,MATCH(Table2[[#This Row],[ModelID]],Models!A:A,0)))</f>
        <v>25000</v>
      </c>
      <c r="G95" s="10">
        <f ca="1">Table2[[#This Row],[Quantity]]*(INDEX(Models!H:H,MATCH(Table2[[#This Row],[ModelID]],Models!A:A,0)))</f>
        <v>2500</v>
      </c>
      <c r="H95" t="str">
        <f ca="1">VLOOKUP(Table2[[#This Row],[DealerID]], Dealers!A:D, 4,FALSE)</f>
        <v xml:space="preserve"> Philippines  </v>
      </c>
      <c r="I95" t="str">
        <f ca="1">VLOOKUP(Table2[[#This Row],[ModelID]],Models!A:C,3,FALSE)</f>
        <v xml:space="preserve"> Ranger          </v>
      </c>
      <c r="J95" s="5" t="str">
        <f ca="1">VLOOKUP(Table2[[#This Row],[ModelID]],Models!A:C,2,FALSE)</f>
        <v xml:space="preserve"> Ford       </v>
      </c>
      <c r="K95" s="5" t="str">
        <f ca="1">VLOOKUP(Table2[[#This Row],[DealerID]], Dealers!A:D, 3,FALSE)</f>
        <v xml:space="preserve"> Iloilo City    </v>
      </c>
      <c r="L95" s="5" t="str">
        <f ca="1">VLOOKUP(Table2[[#This Row],[DealerID]], Dealers!A:D, 2,FALSE)</f>
        <v xml:space="preserve"> Iloilo Motors    </v>
      </c>
    </row>
    <row r="96" spans="1:12" x14ac:dyDescent="0.25">
      <c r="A96">
        <v>95</v>
      </c>
      <c r="B96" s="1">
        <v>44751</v>
      </c>
      <c r="C96">
        <f t="shared" ca="1" si="2"/>
        <v>2</v>
      </c>
      <c r="D96">
        <f t="shared" ca="1" si="3"/>
        <v>4</v>
      </c>
      <c r="E96">
        <v>2</v>
      </c>
      <c r="F96" s="10">
        <f ca="1">Table2[[#This Row],[Quantity]]*(INDEX(Models!G:G,MATCH(Table2[[#This Row],[ModelID]],Models!A:A,0)))</f>
        <v>56000</v>
      </c>
      <c r="G96" s="10">
        <f ca="1">Table2[[#This Row],[Quantity]]*(INDEX(Models!H:H,MATCH(Table2[[#This Row],[ModelID]],Models!A:A,0)))</f>
        <v>5600</v>
      </c>
      <c r="H96" t="str">
        <f ca="1">VLOOKUP(Table2[[#This Row],[DealerID]], Dealers!A:D, 4,FALSE)</f>
        <v xml:space="preserve"> Malaysia     </v>
      </c>
      <c r="I96" t="str">
        <f ca="1">VLOOKUP(Table2[[#This Row],[ModelID]],Models!A:C,3,FALSE)</f>
        <v xml:space="preserve"> CR-V            </v>
      </c>
      <c r="J96" s="5" t="str">
        <f ca="1">VLOOKUP(Table2[[#This Row],[ModelID]],Models!A:C,2,FALSE)</f>
        <v xml:space="preserve"> Honda      </v>
      </c>
      <c r="K96" s="5" t="str">
        <f ca="1">VLOOKUP(Table2[[#This Row],[DealerID]], Dealers!A:D, 3,FALSE)</f>
        <v xml:space="preserve"> George Town     </v>
      </c>
      <c r="L96" s="5" t="str">
        <f ca="1">VLOOKUP(Table2[[#This Row],[DealerID]], Dealers!A:D, 2,FALSE)</f>
        <v xml:space="preserve"> XYZ Cars         </v>
      </c>
    </row>
    <row r="97" spans="1:12" x14ac:dyDescent="0.25">
      <c r="A97">
        <v>96</v>
      </c>
      <c r="B97" s="1">
        <v>44754</v>
      </c>
      <c r="C97">
        <f t="shared" ca="1" si="2"/>
        <v>2</v>
      </c>
      <c r="D97">
        <f t="shared" ca="1" si="3"/>
        <v>4</v>
      </c>
      <c r="E97">
        <v>1</v>
      </c>
      <c r="F97" s="10">
        <f ca="1">Table2[[#This Row],[Quantity]]*(INDEX(Models!G:G,MATCH(Table2[[#This Row],[ModelID]],Models!A:A,0)))</f>
        <v>28000</v>
      </c>
      <c r="G97" s="10">
        <f ca="1">Table2[[#This Row],[Quantity]]*(INDEX(Models!H:H,MATCH(Table2[[#This Row],[ModelID]],Models!A:A,0)))</f>
        <v>2800</v>
      </c>
      <c r="H97" t="str">
        <f ca="1">VLOOKUP(Table2[[#This Row],[DealerID]], Dealers!A:D, 4,FALSE)</f>
        <v xml:space="preserve"> Malaysia     </v>
      </c>
      <c r="I97" t="str">
        <f ca="1">VLOOKUP(Table2[[#This Row],[ModelID]],Models!A:C,3,FALSE)</f>
        <v xml:space="preserve"> CR-V            </v>
      </c>
      <c r="J97" s="5" t="str">
        <f ca="1">VLOOKUP(Table2[[#This Row],[ModelID]],Models!A:C,2,FALSE)</f>
        <v xml:space="preserve"> Honda      </v>
      </c>
      <c r="K97" s="5" t="str">
        <f ca="1">VLOOKUP(Table2[[#This Row],[DealerID]], Dealers!A:D, 3,FALSE)</f>
        <v xml:space="preserve"> George Town     </v>
      </c>
      <c r="L97" s="5" t="str">
        <f ca="1">VLOOKUP(Table2[[#This Row],[DealerID]], Dealers!A:D, 2,FALSE)</f>
        <v xml:space="preserve"> XYZ Cars         </v>
      </c>
    </row>
    <row r="98" spans="1:12" x14ac:dyDescent="0.25">
      <c r="A98">
        <v>97</v>
      </c>
      <c r="B98" s="1">
        <v>44755</v>
      </c>
      <c r="C98">
        <f t="shared" ca="1" si="2"/>
        <v>10</v>
      </c>
      <c r="D98">
        <f t="shared" ca="1" si="3"/>
        <v>3</v>
      </c>
      <c r="E98">
        <v>1</v>
      </c>
      <c r="F98" s="10">
        <f ca="1">Table2[[#This Row],[Quantity]]*(INDEX(Models!G:G,MATCH(Table2[[#This Row],[ModelID]],Models!A:A,0)))</f>
        <v>22000</v>
      </c>
      <c r="G98" s="10">
        <f ca="1">Table2[[#This Row],[Quantity]]*(INDEX(Models!H:H,MATCH(Table2[[#This Row],[ModelID]],Models!A:A,0)))</f>
        <v>4400</v>
      </c>
      <c r="H98" t="str">
        <f ca="1">VLOOKUP(Table2[[#This Row],[DealerID]], Dealers!A:D, 4,FALSE)</f>
        <v xml:space="preserve"> Philippines  </v>
      </c>
      <c r="I98" t="str">
        <f ca="1">VLOOKUP(Table2[[#This Row],[ModelID]],Models!A:C,3,FALSE)</f>
        <v xml:space="preserve"> Civic           </v>
      </c>
      <c r="J98" s="5" t="str">
        <f ca="1">VLOOKUP(Table2[[#This Row],[ModelID]],Models!A:C,2,FALSE)</f>
        <v xml:space="preserve"> Honda      </v>
      </c>
      <c r="K98" s="5" t="str">
        <f ca="1">VLOOKUP(Table2[[#This Row],[DealerID]], Dealers!A:D, 3,FALSE)</f>
        <v xml:space="preserve"> Zamboanga City </v>
      </c>
      <c r="L98" s="5" t="str">
        <f ca="1">VLOOKUP(Table2[[#This Row],[DealerID]], Dealers!A:D, 2,FALSE)</f>
        <v xml:space="preserve"> Zamboanga Cars   </v>
      </c>
    </row>
    <row r="99" spans="1:12" x14ac:dyDescent="0.25">
      <c r="A99">
        <v>98</v>
      </c>
      <c r="B99" s="1">
        <v>44756</v>
      </c>
      <c r="C99">
        <f t="shared" ca="1" si="2"/>
        <v>9</v>
      </c>
      <c r="D99">
        <f t="shared" ca="1" si="3"/>
        <v>5</v>
      </c>
      <c r="E99">
        <v>3</v>
      </c>
      <c r="F99" s="10">
        <f ca="1">Table2[[#This Row],[Quantity]]*(INDEX(Models!G:G,MATCH(Table2[[#This Row],[ModelID]],Models!A:A,0)))</f>
        <v>75000</v>
      </c>
      <c r="G99" s="10">
        <f ca="1">Table2[[#This Row],[Quantity]]*(INDEX(Models!H:H,MATCH(Table2[[#This Row],[ModelID]],Models!A:A,0)))</f>
        <v>7500</v>
      </c>
      <c r="H99" t="str">
        <f ca="1">VLOOKUP(Table2[[#This Row],[DealerID]], Dealers!A:D, 4,FALSE)</f>
        <v xml:space="preserve"> Philippines  </v>
      </c>
      <c r="I99" t="str">
        <f ca="1">VLOOKUP(Table2[[#This Row],[ModelID]],Models!A:C,3,FALSE)</f>
        <v xml:space="preserve"> Ranger          </v>
      </c>
      <c r="J99" s="5" t="str">
        <f ca="1">VLOOKUP(Table2[[#This Row],[ModelID]],Models!A:C,2,FALSE)</f>
        <v xml:space="preserve"> Ford       </v>
      </c>
      <c r="K99" s="5" t="str">
        <f ca="1">VLOOKUP(Table2[[#This Row],[DealerID]], Dealers!A:D, 3,FALSE)</f>
        <v xml:space="preserve"> Iloilo City    </v>
      </c>
      <c r="L99" s="5" t="str">
        <f ca="1">VLOOKUP(Table2[[#This Row],[DealerID]], Dealers!A:D, 2,FALSE)</f>
        <v xml:space="preserve"> Iloilo Motors    </v>
      </c>
    </row>
    <row r="100" spans="1:12" x14ac:dyDescent="0.25">
      <c r="A100">
        <v>99</v>
      </c>
      <c r="B100" s="1">
        <v>44757</v>
      </c>
      <c r="C100">
        <f t="shared" ca="1" si="2"/>
        <v>5</v>
      </c>
      <c r="D100">
        <f t="shared" ca="1" si="3"/>
        <v>7</v>
      </c>
      <c r="E100">
        <v>1</v>
      </c>
      <c r="F100" s="10">
        <f ca="1">Table2[[#This Row],[Quantity]]*(INDEX(Models!G:G,MATCH(Table2[[#This Row],[ModelID]],Models!A:A,0)))</f>
        <v>14000</v>
      </c>
      <c r="G100" s="10">
        <f ca="1">Table2[[#This Row],[Quantity]]*(INDEX(Models!H:H,MATCH(Table2[[#This Row],[ModelID]],Models!A:A,0)))</f>
        <v>1400</v>
      </c>
      <c r="H100" t="str">
        <f ca="1">VLOOKUP(Table2[[#This Row],[DealerID]], Dealers!A:D, 4,FALSE)</f>
        <v xml:space="preserve"> Philippines  </v>
      </c>
      <c r="I100" t="str">
        <f ca="1">VLOOKUP(Table2[[#This Row],[ModelID]],Models!A:C,3,FALSE)</f>
        <v xml:space="preserve"> Almera          </v>
      </c>
      <c r="J100" s="5" t="str">
        <f ca="1">VLOOKUP(Table2[[#This Row],[ModelID]],Models!A:C,2,FALSE)</f>
        <v xml:space="preserve"> Nissan     </v>
      </c>
      <c r="K100" s="5" t="str">
        <f ca="1">VLOOKUP(Table2[[#This Row],[DealerID]], Dealers!A:D, 3,FALSE)</f>
        <v xml:space="preserve"> Cebu City      </v>
      </c>
      <c r="L100" s="5" t="str">
        <f ca="1">VLOOKUP(Table2[[#This Row],[DealerID]], Dealers!A:D, 2,FALSE)</f>
        <v xml:space="preserve"> Cebu Cars        </v>
      </c>
    </row>
    <row r="101" spans="1:12" x14ac:dyDescent="0.25">
      <c r="A101">
        <v>100</v>
      </c>
      <c r="B101" s="1">
        <v>44758</v>
      </c>
      <c r="C101">
        <f t="shared" ca="1" si="2"/>
        <v>1</v>
      </c>
      <c r="D101">
        <f t="shared" ca="1" si="3"/>
        <v>14</v>
      </c>
      <c r="E101">
        <v>1</v>
      </c>
      <c r="F101" s="10">
        <f ca="1">Table2[[#This Row],[Quantity]]*(INDEX(Models!G:G,MATCH(Table2[[#This Row],[ModelID]],Models!A:A,0)))</f>
        <v>25000</v>
      </c>
      <c r="G101" s="10">
        <f ca="1">Table2[[#This Row],[Quantity]]*(INDEX(Models!H:H,MATCH(Table2[[#This Row],[ModelID]],Models!A:A,0)))</f>
        <v>5000</v>
      </c>
      <c r="H101" t="str">
        <f ca="1">VLOOKUP(Table2[[#This Row],[DealerID]], Dealers!A:D, 4,FALSE)</f>
        <v xml:space="preserve"> Malaysia     </v>
      </c>
      <c r="I101" t="str">
        <f ca="1">VLOOKUP(Table2[[#This Row],[ModelID]],Models!A:C,3,FALSE)</f>
        <v xml:space="preserve"> X70             </v>
      </c>
      <c r="J101" s="5" t="str">
        <f ca="1">VLOOKUP(Table2[[#This Row],[ModelID]],Models!A:C,2,FALSE)</f>
        <v xml:space="preserve"> Proton     </v>
      </c>
      <c r="K101" s="5" t="str">
        <f ca="1">VLOOKUP(Table2[[#This Row],[DealerID]], Dealers!A:D, 3,FALSE)</f>
        <v xml:space="preserve"> Kuala Lumpur   </v>
      </c>
      <c r="L101" s="5" t="str">
        <f ca="1">VLOOKUP(Table2[[#This Row],[DealerID]], Dealers!A:D, 2,FALSE)</f>
        <v xml:space="preserve"> ABC Motors       </v>
      </c>
    </row>
    <row r="102" spans="1:12" x14ac:dyDescent="0.25">
      <c r="A102">
        <v>101</v>
      </c>
      <c r="B102" s="1">
        <v>44761</v>
      </c>
      <c r="C102">
        <f t="shared" ca="1" si="2"/>
        <v>5</v>
      </c>
      <c r="D102">
        <f t="shared" ca="1" si="3"/>
        <v>14</v>
      </c>
      <c r="E102">
        <v>2</v>
      </c>
      <c r="F102" s="10">
        <f ca="1">Table2[[#This Row],[Quantity]]*(INDEX(Models!G:G,MATCH(Table2[[#This Row],[ModelID]],Models!A:A,0)))</f>
        <v>50000</v>
      </c>
      <c r="G102" s="10">
        <f ca="1">Table2[[#This Row],[Quantity]]*(INDEX(Models!H:H,MATCH(Table2[[#This Row],[ModelID]],Models!A:A,0)))</f>
        <v>10000</v>
      </c>
      <c r="H102" t="str">
        <f ca="1">VLOOKUP(Table2[[#This Row],[DealerID]], Dealers!A:D, 4,FALSE)</f>
        <v xml:space="preserve"> Philippines  </v>
      </c>
      <c r="I102" t="str">
        <f ca="1">VLOOKUP(Table2[[#This Row],[ModelID]],Models!A:C,3,FALSE)</f>
        <v xml:space="preserve"> X70             </v>
      </c>
      <c r="J102" s="5" t="str">
        <f ca="1">VLOOKUP(Table2[[#This Row],[ModelID]],Models!A:C,2,FALSE)</f>
        <v xml:space="preserve"> Proton     </v>
      </c>
      <c r="K102" s="5" t="str">
        <f ca="1">VLOOKUP(Table2[[#This Row],[DealerID]], Dealers!A:D, 3,FALSE)</f>
        <v xml:space="preserve"> Cebu City      </v>
      </c>
      <c r="L102" s="5" t="str">
        <f ca="1">VLOOKUP(Table2[[#This Row],[DealerID]], Dealers!A:D, 2,FALSE)</f>
        <v xml:space="preserve"> Cebu Cars        </v>
      </c>
    </row>
    <row r="103" spans="1:12" x14ac:dyDescent="0.25">
      <c r="A103">
        <v>102</v>
      </c>
      <c r="B103" s="1">
        <v>44762</v>
      </c>
      <c r="C103">
        <f t="shared" ca="1" si="2"/>
        <v>7</v>
      </c>
      <c r="D103">
        <f t="shared" ca="1" si="3"/>
        <v>13</v>
      </c>
      <c r="E103">
        <v>1</v>
      </c>
      <c r="F103" s="10">
        <f ca="1">Table2[[#This Row],[Quantity]]*(INDEX(Models!G:G,MATCH(Table2[[#This Row],[ModelID]],Models!A:A,0)))</f>
        <v>12000</v>
      </c>
      <c r="G103" s="10">
        <f ca="1">Table2[[#This Row],[Quantity]]*(INDEX(Models!H:H,MATCH(Table2[[#This Row],[ModelID]],Models!A:A,0)))</f>
        <v>1200</v>
      </c>
      <c r="H103" t="str">
        <f ca="1">VLOOKUP(Table2[[#This Row],[DealerID]], Dealers!A:D, 4,FALSE)</f>
        <v xml:space="preserve"> Philippines  </v>
      </c>
      <c r="I103" t="str">
        <f ca="1">VLOOKUP(Table2[[#This Row],[ModelID]],Models!A:C,3,FALSE)</f>
        <v xml:space="preserve"> Persona         </v>
      </c>
      <c r="J103" s="5" t="str">
        <f ca="1">VLOOKUP(Table2[[#This Row],[ModelID]],Models!A:C,2,FALSE)</f>
        <v xml:space="preserve"> Proton     </v>
      </c>
      <c r="K103" s="5" t="str">
        <f ca="1">VLOOKUP(Table2[[#This Row],[DealerID]], Dealers!A:D, 3,FALSE)</f>
        <v xml:space="preserve"> Quezon City    </v>
      </c>
      <c r="L103" s="5" t="str">
        <f ca="1">VLOOKUP(Table2[[#This Row],[DealerID]], Dealers!A:D, 2,FALSE)</f>
        <v xml:space="preserve"> Quezon Vehicles  </v>
      </c>
    </row>
    <row r="104" spans="1:12" x14ac:dyDescent="0.25">
      <c r="A104">
        <v>103</v>
      </c>
      <c r="B104" s="1">
        <v>44763</v>
      </c>
      <c r="C104">
        <f t="shared" ca="1" si="2"/>
        <v>5</v>
      </c>
      <c r="D104">
        <f t="shared" ca="1" si="3"/>
        <v>2</v>
      </c>
      <c r="E104">
        <v>3</v>
      </c>
      <c r="F104" s="10">
        <f ca="1">Table2[[#This Row],[Quantity]]*(INDEX(Models!G:G,MATCH(Table2[[#This Row],[ModelID]],Models!A:A,0)))</f>
        <v>60000</v>
      </c>
      <c r="G104" s="10">
        <f ca="1">Table2[[#This Row],[Quantity]]*(INDEX(Models!H:H,MATCH(Table2[[#This Row],[ModelID]],Models!A:A,0)))</f>
        <v>6000</v>
      </c>
      <c r="H104" t="str">
        <f ca="1">VLOOKUP(Table2[[#This Row],[DealerID]], Dealers!A:D, 4,FALSE)</f>
        <v xml:space="preserve"> Philippines  </v>
      </c>
      <c r="I104" t="str">
        <f ca="1">VLOOKUP(Table2[[#This Row],[ModelID]],Models!A:C,3,FALSE)</f>
        <v xml:space="preserve"> Corolla Altis   </v>
      </c>
      <c r="J104" s="5" t="str">
        <f ca="1">VLOOKUP(Table2[[#This Row],[ModelID]],Models!A:C,2,FALSE)</f>
        <v xml:space="preserve"> Toyota     </v>
      </c>
      <c r="K104" s="5" t="str">
        <f ca="1">VLOOKUP(Table2[[#This Row],[DealerID]], Dealers!A:D, 3,FALSE)</f>
        <v xml:space="preserve"> Cebu City      </v>
      </c>
      <c r="L104" s="5" t="str">
        <f ca="1">VLOOKUP(Table2[[#This Row],[DealerID]], Dealers!A:D, 2,FALSE)</f>
        <v xml:space="preserve"> Cebu Cars        </v>
      </c>
    </row>
    <row r="105" spans="1:12" x14ac:dyDescent="0.25">
      <c r="A105">
        <v>104</v>
      </c>
      <c r="B105" s="1">
        <v>44764</v>
      </c>
      <c r="C105">
        <f t="shared" ca="1" si="2"/>
        <v>3</v>
      </c>
      <c r="D105">
        <f t="shared" ca="1" si="3"/>
        <v>4</v>
      </c>
      <c r="E105">
        <v>1</v>
      </c>
      <c r="F105" s="10">
        <f ca="1">Table2[[#This Row],[Quantity]]*(INDEX(Models!G:G,MATCH(Table2[[#This Row],[ModelID]],Models!A:A,0)))</f>
        <v>28000</v>
      </c>
      <c r="G105" s="10">
        <f ca="1">Table2[[#This Row],[Quantity]]*(INDEX(Models!H:H,MATCH(Table2[[#This Row],[ModelID]],Models!A:A,0)))</f>
        <v>2800</v>
      </c>
      <c r="H105" t="str">
        <f ca="1">VLOOKUP(Table2[[#This Row],[DealerID]], Dealers!A:D, 4,FALSE)</f>
        <v xml:space="preserve"> Singapore    </v>
      </c>
      <c r="I105" t="str">
        <f ca="1">VLOOKUP(Table2[[#This Row],[ModelID]],Models!A:C,3,FALSE)</f>
        <v xml:space="preserve"> CR-V            </v>
      </c>
      <c r="J105" s="5" t="str">
        <f ca="1">VLOOKUP(Table2[[#This Row],[ModelID]],Models!A:C,2,FALSE)</f>
        <v xml:space="preserve"> Honda      </v>
      </c>
      <c r="K105" s="5" t="str">
        <f ca="1">VLOOKUP(Table2[[#This Row],[DealerID]], Dealers!A:D, 3,FALSE)</f>
        <v xml:space="preserve"> Singapore      </v>
      </c>
      <c r="L105" s="5" t="str">
        <f ca="1">VLOOKUP(Table2[[#This Row],[DealerID]], Dealers!A:D, 2,FALSE)</f>
        <v xml:space="preserve"> Singapore Autos  </v>
      </c>
    </row>
    <row r="106" spans="1:12" x14ac:dyDescent="0.25">
      <c r="A106">
        <v>105</v>
      </c>
      <c r="B106" s="1">
        <v>44765</v>
      </c>
      <c r="C106">
        <f t="shared" ca="1" si="2"/>
        <v>1</v>
      </c>
      <c r="D106">
        <f t="shared" ca="1" si="3"/>
        <v>1</v>
      </c>
      <c r="E106">
        <v>2</v>
      </c>
      <c r="F106" s="10">
        <f ca="1">Table2[[#This Row],[Quantity]]*(INDEX(Models!G:G,MATCH(Table2[[#This Row],[ModelID]],Models!A:A,0)))</f>
        <v>30000</v>
      </c>
      <c r="G106" s="10">
        <f ca="1">Table2[[#This Row],[Quantity]]*(INDEX(Models!H:H,MATCH(Table2[[#This Row],[ModelID]],Models!A:A,0)))</f>
        <v>3000</v>
      </c>
      <c r="H106" t="str">
        <f ca="1">VLOOKUP(Table2[[#This Row],[DealerID]], Dealers!A:D, 4,FALSE)</f>
        <v xml:space="preserve"> Malaysia     </v>
      </c>
      <c r="I106" t="str">
        <f ca="1">VLOOKUP(Table2[[#This Row],[ModelID]],Models!A:C,3,FALSE)</f>
        <v xml:space="preserve"> Vios            </v>
      </c>
      <c r="J106" s="5" t="str">
        <f ca="1">VLOOKUP(Table2[[#This Row],[ModelID]],Models!A:C,2,FALSE)</f>
        <v xml:space="preserve"> Toyota     </v>
      </c>
      <c r="K106" s="5" t="str">
        <f ca="1">VLOOKUP(Table2[[#This Row],[DealerID]], Dealers!A:D, 3,FALSE)</f>
        <v xml:space="preserve"> Kuala Lumpur   </v>
      </c>
      <c r="L106" s="5" t="str">
        <f ca="1">VLOOKUP(Table2[[#This Row],[DealerID]], Dealers!A:D, 2,FALSE)</f>
        <v xml:space="preserve"> ABC Motors       </v>
      </c>
    </row>
    <row r="107" spans="1:12" x14ac:dyDescent="0.25">
      <c r="A107">
        <v>106</v>
      </c>
      <c r="B107" s="1">
        <v>44768</v>
      </c>
      <c r="C107">
        <f t="shared" ca="1" si="2"/>
        <v>2</v>
      </c>
      <c r="D107">
        <f t="shared" ca="1" si="3"/>
        <v>15</v>
      </c>
      <c r="E107">
        <v>1</v>
      </c>
      <c r="F107" s="10">
        <f ca="1">Table2[[#This Row],[Quantity]]*(INDEX(Models!G:G,MATCH(Table2[[#This Row],[ModelID]],Models!A:A,0)))</f>
        <v>24000</v>
      </c>
      <c r="G107" s="10">
        <f ca="1">Table2[[#This Row],[Quantity]]*(INDEX(Models!H:H,MATCH(Table2[[#This Row],[ModelID]],Models!A:A,0)))</f>
        <v>2400</v>
      </c>
      <c r="H107" t="str">
        <f ca="1">VLOOKUP(Table2[[#This Row],[DealerID]], Dealers!A:D, 4,FALSE)</f>
        <v xml:space="preserve"> Malaysia     </v>
      </c>
      <c r="I107" t="str">
        <f ca="1">VLOOKUP(Table2[[#This Row],[ModelID]],Models!A:C,3,FALSE)</f>
        <v xml:space="preserve"> Mazda3          </v>
      </c>
      <c r="J107" s="5" t="str">
        <f ca="1">VLOOKUP(Table2[[#This Row],[ModelID]],Models!A:C,2,FALSE)</f>
        <v xml:space="preserve"> Mazda      </v>
      </c>
      <c r="K107" s="5" t="str">
        <f ca="1">VLOOKUP(Table2[[#This Row],[DealerID]], Dealers!A:D, 3,FALSE)</f>
        <v xml:space="preserve"> George Town     </v>
      </c>
      <c r="L107" s="5" t="str">
        <f ca="1">VLOOKUP(Table2[[#This Row],[DealerID]], Dealers!A:D, 2,FALSE)</f>
        <v xml:space="preserve"> XYZ Cars         </v>
      </c>
    </row>
    <row r="108" spans="1:12" x14ac:dyDescent="0.25">
      <c r="A108">
        <v>107</v>
      </c>
      <c r="B108" s="1">
        <v>44769</v>
      </c>
      <c r="C108">
        <f t="shared" ca="1" si="2"/>
        <v>7</v>
      </c>
      <c r="D108">
        <f t="shared" ca="1" si="3"/>
        <v>12</v>
      </c>
      <c r="E108">
        <v>1</v>
      </c>
      <c r="F108" s="10">
        <f ca="1">Table2[[#This Row],[Quantity]]*(INDEX(Models!G:G,MATCH(Table2[[#This Row],[ModelID]],Models!A:A,0)))</f>
        <v>34000</v>
      </c>
      <c r="G108" s="10">
        <f ca="1">Table2[[#This Row],[Quantity]]*(INDEX(Models!H:H,MATCH(Table2[[#This Row],[ModelID]],Models!A:A,0)))</f>
        <v>3400</v>
      </c>
      <c r="H108" t="str">
        <f ca="1">VLOOKUP(Table2[[#This Row],[DealerID]], Dealers!A:D, 4,FALSE)</f>
        <v xml:space="preserve"> Philippines  </v>
      </c>
      <c r="I108" t="str">
        <f ca="1">VLOOKUP(Table2[[#This Row],[ModelID]],Models!A:C,3,FALSE)</f>
        <v xml:space="preserve"> Santa Fe        </v>
      </c>
      <c r="J108" s="5" t="str">
        <f ca="1">VLOOKUP(Table2[[#This Row],[ModelID]],Models!A:C,2,FALSE)</f>
        <v xml:space="preserve"> Hyundai    </v>
      </c>
      <c r="K108" s="5" t="str">
        <f ca="1">VLOOKUP(Table2[[#This Row],[DealerID]], Dealers!A:D, 3,FALSE)</f>
        <v xml:space="preserve"> Quezon City    </v>
      </c>
      <c r="L108" s="5" t="str">
        <f ca="1">VLOOKUP(Table2[[#This Row],[DealerID]], Dealers!A:D, 2,FALSE)</f>
        <v xml:space="preserve"> Quezon Vehicles  </v>
      </c>
    </row>
    <row r="109" spans="1:12" x14ac:dyDescent="0.25">
      <c r="A109">
        <v>108</v>
      </c>
      <c r="B109" s="1">
        <v>44770</v>
      </c>
      <c r="C109">
        <f t="shared" ca="1" si="2"/>
        <v>4</v>
      </c>
      <c r="D109">
        <f t="shared" ca="1" si="3"/>
        <v>1</v>
      </c>
      <c r="E109">
        <v>3</v>
      </c>
      <c r="F109" s="10">
        <f ca="1">Table2[[#This Row],[Quantity]]*(INDEX(Models!G:G,MATCH(Table2[[#This Row],[ModelID]],Models!A:A,0)))</f>
        <v>45000</v>
      </c>
      <c r="G109" s="10">
        <f ca="1">Table2[[#This Row],[Quantity]]*(INDEX(Models!H:H,MATCH(Table2[[#This Row],[ModelID]],Models!A:A,0)))</f>
        <v>4500</v>
      </c>
      <c r="H109" t="str">
        <f ca="1">VLOOKUP(Table2[[#This Row],[DealerID]], Dealers!A:D, 4,FALSE)</f>
        <v xml:space="preserve"> Philippines  </v>
      </c>
      <c r="I109" t="str">
        <f ca="1">VLOOKUP(Table2[[#This Row],[ModelID]],Models!A:C,3,FALSE)</f>
        <v xml:space="preserve"> Vios            </v>
      </c>
      <c r="J109" s="5" t="str">
        <f ca="1">VLOOKUP(Table2[[#This Row],[ModelID]],Models!A:C,2,FALSE)</f>
        <v xml:space="preserve"> Toyota     </v>
      </c>
      <c r="K109" s="5" t="str">
        <f ca="1">VLOOKUP(Table2[[#This Row],[DealerID]], Dealers!A:D, 3,FALSE)</f>
        <v xml:space="preserve"> Manila         </v>
      </c>
      <c r="L109" s="5" t="str">
        <f ca="1">VLOOKUP(Table2[[#This Row],[DealerID]], Dealers!A:D, 2,FALSE)</f>
        <v xml:space="preserve"> Manila Motors    </v>
      </c>
    </row>
    <row r="110" spans="1:12" x14ac:dyDescent="0.25">
      <c r="A110">
        <v>109</v>
      </c>
      <c r="B110" s="1">
        <v>44771</v>
      </c>
      <c r="C110">
        <f t="shared" ca="1" si="2"/>
        <v>6</v>
      </c>
      <c r="D110">
        <f t="shared" ca="1" si="3"/>
        <v>2</v>
      </c>
      <c r="E110">
        <v>1</v>
      </c>
      <c r="F110" s="10">
        <f ca="1">Table2[[#This Row],[Quantity]]*(INDEX(Models!G:G,MATCH(Table2[[#This Row],[ModelID]],Models!A:A,0)))</f>
        <v>20000</v>
      </c>
      <c r="G110" s="10">
        <f ca="1">Table2[[#This Row],[Quantity]]*(INDEX(Models!H:H,MATCH(Table2[[#This Row],[ModelID]],Models!A:A,0)))</f>
        <v>2000</v>
      </c>
      <c r="H110" t="str">
        <f ca="1">VLOOKUP(Table2[[#This Row],[DealerID]], Dealers!A:D, 4,FALSE)</f>
        <v xml:space="preserve"> Philippines  </v>
      </c>
      <c r="I110" t="str">
        <f ca="1">VLOOKUP(Table2[[#This Row],[ModelID]],Models!A:C,3,FALSE)</f>
        <v xml:space="preserve"> Corolla Altis   </v>
      </c>
      <c r="J110" s="5" t="str">
        <f ca="1">VLOOKUP(Table2[[#This Row],[ModelID]],Models!A:C,2,FALSE)</f>
        <v xml:space="preserve"> Toyota     </v>
      </c>
      <c r="K110" s="5" t="str">
        <f ca="1">VLOOKUP(Table2[[#This Row],[DealerID]], Dealers!A:D, 3,FALSE)</f>
        <v xml:space="preserve"> Davao City     </v>
      </c>
      <c r="L110" s="5" t="str">
        <f ca="1">VLOOKUP(Table2[[#This Row],[DealerID]], Dealers!A:D, 2,FALSE)</f>
        <v xml:space="preserve"> Davao Dealers    </v>
      </c>
    </row>
    <row r="111" spans="1:12" x14ac:dyDescent="0.25">
      <c r="A111">
        <v>110</v>
      </c>
      <c r="B111" s="1">
        <v>44772</v>
      </c>
      <c r="C111">
        <f t="shared" ca="1" si="2"/>
        <v>8</v>
      </c>
      <c r="D111">
        <f t="shared" ca="1" si="3"/>
        <v>8</v>
      </c>
      <c r="E111">
        <v>1</v>
      </c>
      <c r="F111" s="10">
        <f ca="1">Table2[[#This Row],[Quantity]]*(INDEX(Models!G:G,MATCH(Table2[[#This Row],[ModelID]],Models!A:A,0)))</f>
        <v>26000</v>
      </c>
      <c r="G111" s="10">
        <f ca="1">Table2[[#This Row],[Quantity]]*(INDEX(Models!H:H,MATCH(Table2[[#This Row],[ModelID]],Models!A:A,0)))</f>
        <v>2600</v>
      </c>
      <c r="H111" t="str">
        <f ca="1">VLOOKUP(Table2[[#This Row],[DealerID]], Dealers!A:D, 4,FALSE)</f>
        <v xml:space="preserve"> Philippines  </v>
      </c>
      <c r="I111" t="str">
        <f ca="1">VLOOKUP(Table2[[#This Row],[ModelID]],Models!A:C,3,FALSE)</f>
        <v xml:space="preserve"> X-Trail         </v>
      </c>
      <c r="J111" s="5" t="str">
        <f ca="1">VLOOKUP(Table2[[#This Row],[ModelID]],Models!A:C,2,FALSE)</f>
        <v xml:space="preserve"> Nissan     </v>
      </c>
      <c r="K111" s="5" t="str">
        <f ca="1">VLOOKUP(Table2[[#This Row],[DealerID]], Dealers!A:D, 3,FALSE)</f>
        <v xml:space="preserve"> Bacolod City   </v>
      </c>
      <c r="L111" s="5" t="str">
        <f ca="1">VLOOKUP(Table2[[#This Row],[DealerID]], Dealers!A:D, 2,FALSE)</f>
        <v xml:space="preserve"> Bacolod Autos    </v>
      </c>
    </row>
    <row r="112" spans="1:12" x14ac:dyDescent="0.25">
      <c r="A112">
        <v>111</v>
      </c>
      <c r="B112" s="1">
        <v>44775</v>
      </c>
      <c r="C112">
        <f t="shared" ca="1" si="2"/>
        <v>1</v>
      </c>
      <c r="D112">
        <f t="shared" ca="1" si="3"/>
        <v>13</v>
      </c>
      <c r="E112">
        <v>2</v>
      </c>
      <c r="F112" s="10">
        <f ca="1">Table2[[#This Row],[Quantity]]*(INDEX(Models!G:G,MATCH(Table2[[#This Row],[ModelID]],Models!A:A,0)))</f>
        <v>24000</v>
      </c>
      <c r="G112" s="10">
        <f ca="1">Table2[[#This Row],[Quantity]]*(INDEX(Models!H:H,MATCH(Table2[[#This Row],[ModelID]],Models!A:A,0)))</f>
        <v>2400</v>
      </c>
      <c r="H112" t="str">
        <f ca="1">VLOOKUP(Table2[[#This Row],[DealerID]], Dealers!A:D, 4,FALSE)</f>
        <v xml:space="preserve"> Malaysia     </v>
      </c>
      <c r="I112" t="str">
        <f ca="1">VLOOKUP(Table2[[#This Row],[ModelID]],Models!A:C,3,FALSE)</f>
        <v xml:space="preserve"> Persona         </v>
      </c>
      <c r="J112" s="5" t="str">
        <f ca="1">VLOOKUP(Table2[[#This Row],[ModelID]],Models!A:C,2,FALSE)</f>
        <v xml:space="preserve"> Proton     </v>
      </c>
      <c r="K112" s="5" t="str">
        <f ca="1">VLOOKUP(Table2[[#This Row],[DealerID]], Dealers!A:D, 3,FALSE)</f>
        <v xml:space="preserve"> Kuala Lumpur   </v>
      </c>
      <c r="L112" s="5" t="str">
        <f ca="1">VLOOKUP(Table2[[#This Row],[DealerID]], Dealers!A:D, 2,FALSE)</f>
        <v xml:space="preserve"> ABC Motors       </v>
      </c>
    </row>
    <row r="113" spans="1:12" x14ac:dyDescent="0.25">
      <c r="A113">
        <v>112</v>
      </c>
      <c r="B113" s="1">
        <v>44776</v>
      </c>
      <c r="C113">
        <f t="shared" ca="1" si="2"/>
        <v>8</v>
      </c>
      <c r="D113">
        <f t="shared" ca="1" si="3"/>
        <v>15</v>
      </c>
      <c r="E113">
        <v>1</v>
      </c>
      <c r="F113" s="10">
        <f ca="1">Table2[[#This Row],[Quantity]]*(INDEX(Models!G:G,MATCH(Table2[[#This Row],[ModelID]],Models!A:A,0)))</f>
        <v>24000</v>
      </c>
      <c r="G113" s="10">
        <f ca="1">Table2[[#This Row],[Quantity]]*(INDEX(Models!H:H,MATCH(Table2[[#This Row],[ModelID]],Models!A:A,0)))</f>
        <v>2400</v>
      </c>
      <c r="H113" t="str">
        <f ca="1">VLOOKUP(Table2[[#This Row],[DealerID]], Dealers!A:D, 4,FALSE)</f>
        <v xml:space="preserve"> Philippines  </v>
      </c>
      <c r="I113" t="str">
        <f ca="1">VLOOKUP(Table2[[#This Row],[ModelID]],Models!A:C,3,FALSE)</f>
        <v xml:space="preserve"> Mazda3          </v>
      </c>
      <c r="J113" s="5" t="str">
        <f ca="1">VLOOKUP(Table2[[#This Row],[ModelID]],Models!A:C,2,FALSE)</f>
        <v xml:space="preserve"> Mazda      </v>
      </c>
      <c r="K113" s="5" t="str">
        <f ca="1">VLOOKUP(Table2[[#This Row],[DealerID]], Dealers!A:D, 3,FALSE)</f>
        <v xml:space="preserve"> Bacolod City   </v>
      </c>
      <c r="L113" s="5" t="str">
        <f ca="1">VLOOKUP(Table2[[#This Row],[DealerID]], Dealers!A:D, 2,FALSE)</f>
        <v xml:space="preserve"> Bacolod Autos    </v>
      </c>
    </row>
    <row r="114" spans="1:12" x14ac:dyDescent="0.25">
      <c r="A114">
        <v>113</v>
      </c>
      <c r="B114" s="1">
        <v>44777</v>
      </c>
      <c r="C114">
        <f t="shared" ca="1" si="2"/>
        <v>10</v>
      </c>
      <c r="D114">
        <f t="shared" ca="1" si="3"/>
        <v>11</v>
      </c>
      <c r="E114">
        <v>3</v>
      </c>
      <c r="F114" s="10">
        <f ca="1">Table2[[#This Row],[Quantity]]*(INDEX(Models!G:G,MATCH(Table2[[#This Row],[ModelID]],Models!A:A,0)))</f>
        <v>48000</v>
      </c>
      <c r="G114" s="10">
        <f ca="1">Table2[[#This Row],[Quantity]]*(INDEX(Models!H:H,MATCH(Table2[[#This Row],[ModelID]],Models!A:A,0)))</f>
        <v>9600</v>
      </c>
      <c r="H114" t="str">
        <f ca="1">VLOOKUP(Table2[[#This Row],[DealerID]], Dealers!A:D, 4,FALSE)</f>
        <v xml:space="preserve"> Philippines  </v>
      </c>
      <c r="I114" t="str">
        <f ca="1">VLOOKUP(Table2[[#This Row],[ModelID]],Models!A:C,3,FALSE)</f>
        <v xml:space="preserve"> Accent          </v>
      </c>
      <c r="J114" s="5" t="str">
        <f ca="1">VLOOKUP(Table2[[#This Row],[ModelID]],Models!A:C,2,FALSE)</f>
        <v xml:space="preserve"> Hyundai    </v>
      </c>
      <c r="K114" s="5" t="str">
        <f ca="1">VLOOKUP(Table2[[#This Row],[DealerID]], Dealers!A:D, 3,FALSE)</f>
        <v xml:space="preserve"> Zamboanga City </v>
      </c>
      <c r="L114" s="5" t="str">
        <f ca="1">VLOOKUP(Table2[[#This Row],[DealerID]], Dealers!A:D, 2,FALSE)</f>
        <v xml:space="preserve"> Zamboanga Cars   </v>
      </c>
    </row>
    <row r="115" spans="1:12" x14ac:dyDescent="0.25">
      <c r="A115">
        <v>114</v>
      </c>
      <c r="B115" s="1">
        <v>44778</v>
      </c>
      <c r="C115">
        <f t="shared" ca="1" si="2"/>
        <v>8</v>
      </c>
      <c r="D115">
        <f t="shared" ca="1" si="3"/>
        <v>11</v>
      </c>
      <c r="E115">
        <v>1</v>
      </c>
      <c r="F115" s="10">
        <f ca="1">Table2[[#This Row],[Quantity]]*(INDEX(Models!G:G,MATCH(Table2[[#This Row],[ModelID]],Models!A:A,0)))</f>
        <v>16000</v>
      </c>
      <c r="G115" s="10">
        <f ca="1">Table2[[#This Row],[Quantity]]*(INDEX(Models!H:H,MATCH(Table2[[#This Row],[ModelID]],Models!A:A,0)))</f>
        <v>3200</v>
      </c>
      <c r="H115" t="str">
        <f ca="1">VLOOKUP(Table2[[#This Row],[DealerID]], Dealers!A:D, 4,FALSE)</f>
        <v xml:space="preserve"> Philippines  </v>
      </c>
      <c r="I115" t="str">
        <f ca="1">VLOOKUP(Table2[[#This Row],[ModelID]],Models!A:C,3,FALSE)</f>
        <v xml:space="preserve"> Accent          </v>
      </c>
      <c r="J115" s="5" t="str">
        <f ca="1">VLOOKUP(Table2[[#This Row],[ModelID]],Models!A:C,2,FALSE)</f>
        <v xml:space="preserve"> Hyundai    </v>
      </c>
      <c r="K115" s="5" t="str">
        <f ca="1">VLOOKUP(Table2[[#This Row],[DealerID]], Dealers!A:D, 3,FALSE)</f>
        <v xml:space="preserve"> Bacolod City   </v>
      </c>
      <c r="L115" s="5" t="str">
        <f ca="1">VLOOKUP(Table2[[#This Row],[DealerID]], Dealers!A:D, 2,FALSE)</f>
        <v xml:space="preserve"> Bacolod Autos    </v>
      </c>
    </row>
    <row r="116" spans="1:12" x14ac:dyDescent="0.25">
      <c r="A116">
        <v>115</v>
      </c>
      <c r="B116" s="1">
        <v>44779</v>
      </c>
      <c r="C116">
        <f t="shared" ca="1" si="2"/>
        <v>1</v>
      </c>
      <c r="D116">
        <f t="shared" ca="1" si="3"/>
        <v>8</v>
      </c>
      <c r="E116">
        <v>2</v>
      </c>
      <c r="F116" s="10">
        <f ca="1">Table2[[#This Row],[Quantity]]*(INDEX(Models!G:G,MATCH(Table2[[#This Row],[ModelID]],Models!A:A,0)))</f>
        <v>52000</v>
      </c>
      <c r="G116" s="10">
        <f ca="1">Table2[[#This Row],[Quantity]]*(INDEX(Models!H:H,MATCH(Table2[[#This Row],[ModelID]],Models!A:A,0)))</f>
        <v>5200</v>
      </c>
      <c r="H116" t="str">
        <f ca="1">VLOOKUP(Table2[[#This Row],[DealerID]], Dealers!A:D, 4,FALSE)</f>
        <v xml:space="preserve"> Malaysia     </v>
      </c>
      <c r="I116" t="str">
        <f ca="1">VLOOKUP(Table2[[#This Row],[ModelID]],Models!A:C,3,FALSE)</f>
        <v xml:space="preserve"> X-Trail         </v>
      </c>
      <c r="J116" s="5" t="str">
        <f ca="1">VLOOKUP(Table2[[#This Row],[ModelID]],Models!A:C,2,FALSE)</f>
        <v xml:space="preserve"> Nissan     </v>
      </c>
      <c r="K116" s="5" t="str">
        <f ca="1">VLOOKUP(Table2[[#This Row],[DealerID]], Dealers!A:D, 3,FALSE)</f>
        <v xml:space="preserve"> Kuala Lumpur   </v>
      </c>
      <c r="L116" s="5" t="str">
        <f ca="1">VLOOKUP(Table2[[#This Row],[DealerID]], Dealers!A:D, 2,FALSE)</f>
        <v xml:space="preserve"> ABC Motors       </v>
      </c>
    </row>
    <row r="117" spans="1:12" x14ac:dyDescent="0.25">
      <c r="A117">
        <v>116</v>
      </c>
      <c r="B117" s="1">
        <v>44782</v>
      </c>
      <c r="C117">
        <f t="shared" ca="1" si="2"/>
        <v>3</v>
      </c>
      <c r="D117">
        <f t="shared" ca="1" si="3"/>
        <v>2</v>
      </c>
      <c r="E117">
        <v>1</v>
      </c>
      <c r="F117" s="10">
        <f ca="1">Table2[[#This Row],[Quantity]]*(INDEX(Models!G:G,MATCH(Table2[[#This Row],[ModelID]],Models!A:A,0)))</f>
        <v>20000</v>
      </c>
      <c r="G117" s="10">
        <f ca="1">Table2[[#This Row],[Quantity]]*(INDEX(Models!H:H,MATCH(Table2[[#This Row],[ModelID]],Models!A:A,0)))</f>
        <v>2000</v>
      </c>
      <c r="H117" t="str">
        <f ca="1">VLOOKUP(Table2[[#This Row],[DealerID]], Dealers!A:D, 4,FALSE)</f>
        <v xml:space="preserve"> Singapore    </v>
      </c>
      <c r="I117" t="str">
        <f ca="1">VLOOKUP(Table2[[#This Row],[ModelID]],Models!A:C,3,FALSE)</f>
        <v xml:space="preserve"> Corolla Altis   </v>
      </c>
      <c r="J117" s="5" t="str">
        <f ca="1">VLOOKUP(Table2[[#This Row],[ModelID]],Models!A:C,2,FALSE)</f>
        <v xml:space="preserve"> Toyota     </v>
      </c>
      <c r="K117" s="5" t="str">
        <f ca="1">VLOOKUP(Table2[[#This Row],[DealerID]], Dealers!A:D, 3,FALSE)</f>
        <v xml:space="preserve"> Singapore      </v>
      </c>
      <c r="L117" s="5" t="str">
        <f ca="1">VLOOKUP(Table2[[#This Row],[DealerID]], Dealers!A:D, 2,FALSE)</f>
        <v xml:space="preserve"> Singapore Autos  </v>
      </c>
    </row>
    <row r="118" spans="1:12" x14ac:dyDescent="0.25">
      <c r="A118">
        <v>117</v>
      </c>
      <c r="B118" s="1">
        <v>44783</v>
      </c>
      <c r="C118">
        <f t="shared" ca="1" si="2"/>
        <v>8</v>
      </c>
      <c r="D118">
        <f t="shared" ca="1" si="3"/>
        <v>5</v>
      </c>
      <c r="E118">
        <v>1</v>
      </c>
      <c r="F118" s="10">
        <f ca="1">Table2[[#This Row],[Quantity]]*(INDEX(Models!G:G,MATCH(Table2[[#This Row],[ModelID]],Models!A:A,0)))</f>
        <v>25000</v>
      </c>
      <c r="G118" s="10">
        <f ca="1">Table2[[#This Row],[Quantity]]*(INDEX(Models!H:H,MATCH(Table2[[#This Row],[ModelID]],Models!A:A,0)))</f>
        <v>2500</v>
      </c>
      <c r="H118" t="str">
        <f ca="1">VLOOKUP(Table2[[#This Row],[DealerID]], Dealers!A:D, 4,FALSE)</f>
        <v xml:space="preserve"> Philippines  </v>
      </c>
      <c r="I118" t="str">
        <f ca="1">VLOOKUP(Table2[[#This Row],[ModelID]],Models!A:C,3,FALSE)</f>
        <v xml:space="preserve"> Ranger          </v>
      </c>
      <c r="J118" s="5" t="str">
        <f ca="1">VLOOKUP(Table2[[#This Row],[ModelID]],Models!A:C,2,FALSE)</f>
        <v xml:space="preserve"> Ford       </v>
      </c>
      <c r="K118" s="5" t="str">
        <f ca="1">VLOOKUP(Table2[[#This Row],[DealerID]], Dealers!A:D, 3,FALSE)</f>
        <v xml:space="preserve"> Bacolod City   </v>
      </c>
      <c r="L118" s="5" t="str">
        <f ca="1">VLOOKUP(Table2[[#This Row],[DealerID]], Dealers!A:D, 2,FALSE)</f>
        <v xml:space="preserve"> Bacolod Autos    </v>
      </c>
    </row>
    <row r="119" spans="1:12" x14ac:dyDescent="0.25">
      <c r="A119">
        <v>118</v>
      </c>
      <c r="B119" s="1">
        <v>44784</v>
      </c>
      <c r="C119">
        <f t="shared" ca="1" si="2"/>
        <v>1</v>
      </c>
      <c r="D119">
        <f t="shared" ca="1" si="3"/>
        <v>11</v>
      </c>
      <c r="E119">
        <v>3</v>
      </c>
      <c r="F119" s="10">
        <f ca="1">Table2[[#This Row],[Quantity]]*(INDEX(Models!G:G,MATCH(Table2[[#This Row],[ModelID]],Models!A:A,0)))</f>
        <v>48000</v>
      </c>
      <c r="G119" s="10">
        <f ca="1">Table2[[#This Row],[Quantity]]*(INDEX(Models!H:H,MATCH(Table2[[#This Row],[ModelID]],Models!A:A,0)))</f>
        <v>9600</v>
      </c>
      <c r="H119" t="str">
        <f ca="1">VLOOKUP(Table2[[#This Row],[DealerID]], Dealers!A:D, 4,FALSE)</f>
        <v xml:space="preserve"> Malaysia     </v>
      </c>
      <c r="I119" t="str">
        <f ca="1">VLOOKUP(Table2[[#This Row],[ModelID]],Models!A:C,3,FALSE)</f>
        <v xml:space="preserve"> Accent          </v>
      </c>
      <c r="J119" s="5" t="str">
        <f ca="1">VLOOKUP(Table2[[#This Row],[ModelID]],Models!A:C,2,FALSE)</f>
        <v xml:space="preserve"> Hyundai    </v>
      </c>
      <c r="K119" s="5" t="str">
        <f ca="1">VLOOKUP(Table2[[#This Row],[DealerID]], Dealers!A:D, 3,FALSE)</f>
        <v xml:space="preserve"> Kuala Lumpur   </v>
      </c>
      <c r="L119" s="5" t="str">
        <f ca="1">VLOOKUP(Table2[[#This Row],[DealerID]], Dealers!A:D, 2,FALSE)</f>
        <v xml:space="preserve"> ABC Motors       </v>
      </c>
    </row>
    <row r="120" spans="1:12" x14ac:dyDescent="0.25">
      <c r="A120">
        <v>119</v>
      </c>
      <c r="B120" s="1">
        <v>44785</v>
      </c>
      <c r="C120">
        <f t="shared" ca="1" si="2"/>
        <v>2</v>
      </c>
      <c r="D120">
        <f t="shared" ca="1" si="3"/>
        <v>7</v>
      </c>
      <c r="E120">
        <v>1</v>
      </c>
      <c r="F120" s="10">
        <f ca="1">Table2[[#This Row],[Quantity]]*(INDEX(Models!G:G,MATCH(Table2[[#This Row],[ModelID]],Models!A:A,0)))</f>
        <v>14000</v>
      </c>
      <c r="G120" s="10">
        <f ca="1">Table2[[#This Row],[Quantity]]*(INDEX(Models!H:H,MATCH(Table2[[#This Row],[ModelID]],Models!A:A,0)))</f>
        <v>1400</v>
      </c>
      <c r="H120" t="str">
        <f ca="1">VLOOKUP(Table2[[#This Row],[DealerID]], Dealers!A:D, 4,FALSE)</f>
        <v xml:space="preserve"> Malaysia     </v>
      </c>
      <c r="I120" t="str">
        <f ca="1">VLOOKUP(Table2[[#This Row],[ModelID]],Models!A:C,3,FALSE)</f>
        <v xml:space="preserve"> Almera          </v>
      </c>
      <c r="J120" s="5" t="str">
        <f ca="1">VLOOKUP(Table2[[#This Row],[ModelID]],Models!A:C,2,FALSE)</f>
        <v xml:space="preserve"> Nissan     </v>
      </c>
      <c r="K120" s="5" t="str">
        <f ca="1">VLOOKUP(Table2[[#This Row],[DealerID]], Dealers!A:D, 3,FALSE)</f>
        <v xml:space="preserve"> George Town     </v>
      </c>
      <c r="L120" s="5" t="str">
        <f ca="1">VLOOKUP(Table2[[#This Row],[DealerID]], Dealers!A:D, 2,FALSE)</f>
        <v xml:space="preserve"> XYZ Cars         </v>
      </c>
    </row>
    <row r="121" spans="1:12" x14ac:dyDescent="0.25">
      <c r="A121">
        <v>120</v>
      </c>
      <c r="B121" s="1">
        <v>44786</v>
      </c>
      <c r="C121">
        <f t="shared" ca="1" si="2"/>
        <v>5</v>
      </c>
      <c r="D121">
        <f t="shared" ca="1" si="3"/>
        <v>10</v>
      </c>
      <c r="E121">
        <v>1</v>
      </c>
      <c r="F121" s="10">
        <f ca="1">Table2[[#This Row],[Quantity]]*(INDEX(Models!G:G,MATCH(Table2[[#This Row],[ModelID]],Models!A:A,0)))</f>
        <v>32000</v>
      </c>
      <c r="G121" s="10">
        <f ca="1">Table2[[#This Row],[Quantity]]*(INDEX(Models!H:H,MATCH(Table2[[#This Row],[ModelID]],Models!A:A,0)))</f>
        <v>3200</v>
      </c>
      <c r="H121" t="str">
        <f ca="1">VLOOKUP(Table2[[#This Row],[DealerID]], Dealers!A:D, 4,FALSE)</f>
        <v xml:space="preserve"> Philippines  </v>
      </c>
      <c r="I121" t="str">
        <f ca="1">VLOOKUP(Table2[[#This Row],[ModelID]],Models!A:C,3,FALSE)</f>
        <v xml:space="preserve"> Outlander       </v>
      </c>
      <c r="J121" s="5" t="str">
        <f ca="1">VLOOKUP(Table2[[#This Row],[ModelID]],Models!A:C,2,FALSE)</f>
        <v xml:space="preserve"> Mitsubishi </v>
      </c>
      <c r="K121" s="5" t="str">
        <f ca="1">VLOOKUP(Table2[[#This Row],[DealerID]], Dealers!A:D, 3,FALSE)</f>
        <v xml:space="preserve"> Cebu City      </v>
      </c>
      <c r="L121" s="5" t="str">
        <f ca="1">VLOOKUP(Table2[[#This Row],[DealerID]], Dealers!A:D, 2,FALSE)</f>
        <v xml:space="preserve"> Cebu Cars        </v>
      </c>
    </row>
    <row r="122" spans="1:12" x14ac:dyDescent="0.25">
      <c r="A122">
        <v>121</v>
      </c>
      <c r="B122" s="1">
        <v>44789</v>
      </c>
      <c r="C122">
        <f t="shared" ca="1" si="2"/>
        <v>9</v>
      </c>
      <c r="D122">
        <f t="shared" ca="1" si="3"/>
        <v>11</v>
      </c>
      <c r="E122">
        <v>2</v>
      </c>
      <c r="F122" s="10">
        <f ca="1">Table2[[#This Row],[Quantity]]*(INDEX(Models!G:G,MATCH(Table2[[#This Row],[ModelID]],Models!A:A,0)))</f>
        <v>32000</v>
      </c>
      <c r="G122" s="10">
        <f ca="1">Table2[[#This Row],[Quantity]]*(INDEX(Models!H:H,MATCH(Table2[[#This Row],[ModelID]],Models!A:A,0)))</f>
        <v>6400</v>
      </c>
      <c r="H122" t="str">
        <f ca="1">VLOOKUP(Table2[[#This Row],[DealerID]], Dealers!A:D, 4,FALSE)</f>
        <v xml:space="preserve"> Philippines  </v>
      </c>
      <c r="I122" t="str">
        <f ca="1">VLOOKUP(Table2[[#This Row],[ModelID]],Models!A:C,3,FALSE)</f>
        <v xml:space="preserve"> Accent          </v>
      </c>
      <c r="J122" s="5" t="str">
        <f ca="1">VLOOKUP(Table2[[#This Row],[ModelID]],Models!A:C,2,FALSE)</f>
        <v xml:space="preserve"> Hyundai    </v>
      </c>
      <c r="K122" s="5" t="str">
        <f ca="1">VLOOKUP(Table2[[#This Row],[DealerID]], Dealers!A:D, 3,FALSE)</f>
        <v xml:space="preserve"> Iloilo City    </v>
      </c>
      <c r="L122" s="5" t="str">
        <f ca="1">VLOOKUP(Table2[[#This Row],[DealerID]], Dealers!A:D, 2,FALSE)</f>
        <v xml:space="preserve"> Iloilo Motors    </v>
      </c>
    </row>
    <row r="123" spans="1:12" x14ac:dyDescent="0.25">
      <c r="A123">
        <v>122</v>
      </c>
      <c r="B123" s="1">
        <v>44790</v>
      </c>
      <c r="C123">
        <f t="shared" ca="1" si="2"/>
        <v>9</v>
      </c>
      <c r="D123">
        <f t="shared" ca="1" si="3"/>
        <v>11</v>
      </c>
      <c r="E123">
        <v>1</v>
      </c>
      <c r="F123" s="10">
        <f ca="1">Table2[[#This Row],[Quantity]]*(INDEX(Models!G:G,MATCH(Table2[[#This Row],[ModelID]],Models!A:A,0)))</f>
        <v>16000</v>
      </c>
      <c r="G123" s="10">
        <f ca="1">Table2[[#This Row],[Quantity]]*(INDEX(Models!H:H,MATCH(Table2[[#This Row],[ModelID]],Models!A:A,0)))</f>
        <v>3200</v>
      </c>
      <c r="H123" t="str">
        <f ca="1">VLOOKUP(Table2[[#This Row],[DealerID]], Dealers!A:D, 4,FALSE)</f>
        <v xml:space="preserve"> Philippines  </v>
      </c>
      <c r="I123" t="str">
        <f ca="1">VLOOKUP(Table2[[#This Row],[ModelID]],Models!A:C,3,FALSE)</f>
        <v xml:space="preserve"> Accent          </v>
      </c>
      <c r="J123" s="5" t="str">
        <f ca="1">VLOOKUP(Table2[[#This Row],[ModelID]],Models!A:C,2,FALSE)</f>
        <v xml:space="preserve"> Hyundai    </v>
      </c>
      <c r="K123" s="5" t="str">
        <f ca="1">VLOOKUP(Table2[[#This Row],[DealerID]], Dealers!A:D, 3,FALSE)</f>
        <v xml:space="preserve"> Iloilo City    </v>
      </c>
      <c r="L123" s="5" t="str">
        <f ca="1">VLOOKUP(Table2[[#This Row],[DealerID]], Dealers!A:D, 2,FALSE)</f>
        <v xml:space="preserve"> Iloilo Motors    </v>
      </c>
    </row>
    <row r="124" spans="1:12" x14ac:dyDescent="0.25">
      <c r="A124">
        <v>123</v>
      </c>
      <c r="B124" s="1">
        <v>44791</v>
      </c>
      <c r="C124">
        <f t="shared" ca="1" si="2"/>
        <v>2</v>
      </c>
      <c r="D124">
        <f t="shared" ca="1" si="3"/>
        <v>15</v>
      </c>
      <c r="E124">
        <v>3</v>
      </c>
      <c r="F124" s="10">
        <f ca="1">Table2[[#This Row],[Quantity]]*(INDEX(Models!G:G,MATCH(Table2[[#This Row],[ModelID]],Models!A:A,0)))</f>
        <v>72000</v>
      </c>
      <c r="G124" s="10">
        <f ca="1">Table2[[#This Row],[Quantity]]*(INDEX(Models!H:H,MATCH(Table2[[#This Row],[ModelID]],Models!A:A,0)))</f>
        <v>7200</v>
      </c>
      <c r="H124" t="str">
        <f ca="1">VLOOKUP(Table2[[#This Row],[DealerID]], Dealers!A:D, 4,FALSE)</f>
        <v xml:space="preserve"> Malaysia     </v>
      </c>
      <c r="I124" t="str">
        <f ca="1">VLOOKUP(Table2[[#This Row],[ModelID]],Models!A:C,3,FALSE)</f>
        <v xml:space="preserve"> Mazda3          </v>
      </c>
      <c r="J124" s="5" t="str">
        <f ca="1">VLOOKUP(Table2[[#This Row],[ModelID]],Models!A:C,2,FALSE)</f>
        <v xml:space="preserve"> Mazda      </v>
      </c>
      <c r="K124" s="5" t="str">
        <f ca="1">VLOOKUP(Table2[[#This Row],[DealerID]], Dealers!A:D, 3,FALSE)</f>
        <v xml:space="preserve"> George Town     </v>
      </c>
      <c r="L124" s="5" t="str">
        <f ca="1">VLOOKUP(Table2[[#This Row],[DealerID]], Dealers!A:D, 2,FALSE)</f>
        <v xml:space="preserve"> XYZ Cars         </v>
      </c>
    </row>
    <row r="125" spans="1:12" x14ac:dyDescent="0.25">
      <c r="A125">
        <v>124</v>
      </c>
      <c r="B125" s="1">
        <v>44792</v>
      </c>
      <c r="C125">
        <f t="shared" ca="1" si="2"/>
        <v>4</v>
      </c>
      <c r="D125">
        <f t="shared" ca="1" si="3"/>
        <v>5</v>
      </c>
      <c r="E125">
        <v>1</v>
      </c>
      <c r="F125" s="10">
        <f ca="1">Table2[[#This Row],[Quantity]]*(INDEX(Models!G:G,MATCH(Table2[[#This Row],[ModelID]],Models!A:A,0)))</f>
        <v>25000</v>
      </c>
      <c r="G125" s="10">
        <f ca="1">Table2[[#This Row],[Quantity]]*(INDEX(Models!H:H,MATCH(Table2[[#This Row],[ModelID]],Models!A:A,0)))</f>
        <v>2500</v>
      </c>
      <c r="H125" t="str">
        <f ca="1">VLOOKUP(Table2[[#This Row],[DealerID]], Dealers!A:D, 4,FALSE)</f>
        <v xml:space="preserve"> Philippines  </v>
      </c>
      <c r="I125" t="str">
        <f ca="1">VLOOKUP(Table2[[#This Row],[ModelID]],Models!A:C,3,FALSE)</f>
        <v xml:space="preserve"> Ranger          </v>
      </c>
      <c r="J125" s="5" t="str">
        <f ca="1">VLOOKUP(Table2[[#This Row],[ModelID]],Models!A:C,2,FALSE)</f>
        <v xml:space="preserve"> Ford       </v>
      </c>
      <c r="K125" s="5" t="str">
        <f ca="1">VLOOKUP(Table2[[#This Row],[DealerID]], Dealers!A:D, 3,FALSE)</f>
        <v xml:space="preserve"> Manila         </v>
      </c>
      <c r="L125" s="5" t="str">
        <f ca="1">VLOOKUP(Table2[[#This Row],[DealerID]], Dealers!A:D, 2,FALSE)</f>
        <v xml:space="preserve"> Manila Motors    </v>
      </c>
    </row>
    <row r="126" spans="1:12" x14ac:dyDescent="0.25">
      <c r="A126">
        <v>125</v>
      </c>
      <c r="B126" s="1">
        <v>44793</v>
      </c>
      <c r="C126">
        <f t="shared" ca="1" si="2"/>
        <v>7</v>
      </c>
      <c r="D126">
        <f t="shared" ca="1" si="3"/>
        <v>3</v>
      </c>
      <c r="E126">
        <v>2</v>
      </c>
      <c r="F126" s="10">
        <f ca="1">Table2[[#This Row],[Quantity]]*(INDEX(Models!G:G,MATCH(Table2[[#This Row],[ModelID]],Models!A:A,0)))</f>
        <v>44000</v>
      </c>
      <c r="G126" s="10">
        <f ca="1">Table2[[#This Row],[Quantity]]*(INDEX(Models!H:H,MATCH(Table2[[#This Row],[ModelID]],Models!A:A,0)))</f>
        <v>8800</v>
      </c>
      <c r="H126" t="str">
        <f ca="1">VLOOKUP(Table2[[#This Row],[DealerID]], Dealers!A:D, 4,FALSE)</f>
        <v xml:space="preserve"> Philippines  </v>
      </c>
      <c r="I126" t="str">
        <f ca="1">VLOOKUP(Table2[[#This Row],[ModelID]],Models!A:C,3,FALSE)</f>
        <v xml:space="preserve"> Civic           </v>
      </c>
      <c r="J126" s="5" t="str">
        <f ca="1">VLOOKUP(Table2[[#This Row],[ModelID]],Models!A:C,2,FALSE)</f>
        <v xml:space="preserve"> Honda      </v>
      </c>
      <c r="K126" s="5" t="str">
        <f ca="1">VLOOKUP(Table2[[#This Row],[DealerID]], Dealers!A:D, 3,FALSE)</f>
        <v xml:space="preserve"> Quezon City    </v>
      </c>
      <c r="L126" s="5" t="str">
        <f ca="1">VLOOKUP(Table2[[#This Row],[DealerID]], Dealers!A:D, 2,FALSE)</f>
        <v xml:space="preserve"> Quezon Vehicles  </v>
      </c>
    </row>
    <row r="127" spans="1:12" x14ac:dyDescent="0.25">
      <c r="A127">
        <v>126</v>
      </c>
      <c r="B127" s="1">
        <v>44796</v>
      </c>
      <c r="C127">
        <f t="shared" ca="1" si="2"/>
        <v>5</v>
      </c>
      <c r="D127">
        <f t="shared" ca="1" si="3"/>
        <v>14</v>
      </c>
      <c r="E127">
        <v>1</v>
      </c>
      <c r="F127" s="10">
        <f ca="1">Table2[[#This Row],[Quantity]]*(INDEX(Models!G:G,MATCH(Table2[[#This Row],[ModelID]],Models!A:A,0)))</f>
        <v>25000</v>
      </c>
      <c r="G127" s="10">
        <f ca="1">Table2[[#This Row],[Quantity]]*(INDEX(Models!H:H,MATCH(Table2[[#This Row],[ModelID]],Models!A:A,0)))</f>
        <v>5000</v>
      </c>
      <c r="H127" t="str">
        <f ca="1">VLOOKUP(Table2[[#This Row],[DealerID]], Dealers!A:D, 4,FALSE)</f>
        <v xml:space="preserve"> Philippines  </v>
      </c>
      <c r="I127" t="str">
        <f ca="1">VLOOKUP(Table2[[#This Row],[ModelID]],Models!A:C,3,FALSE)</f>
        <v xml:space="preserve"> X70             </v>
      </c>
      <c r="J127" s="5" t="str">
        <f ca="1">VLOOKUP(Table2[[#This Row],[ModelID]],Models!A:C,2,FALSE)</f>
        <v xml:space="preserve"> Proton     </v>
      </c>
      <c r="K127" s="5" t="str">
        <f ca="1">VLOOKUP(Table2[[#This Row],[DealerID]], Dealers!A:D, 3,FALSE)</f>
        <v xml:space="preserve"> Cebu City      </v>
      </c>
      <c r="L127" s="5" t="str">
        <f ca="1">VLOOKUP(Table2[[#This Row],[DealerID]], Dealers!A:D, 2,FALSE)</f>
        <v xml:space="preserve"> Cebu Cars        </v>
      </c>
    </row>
    <row r="128" spans="1:12" x14ac:dyDescent="0.25">
      <c r="A128">
        <v>127</v>
      </c>
      <c r="B128" s="1">
        <v>44797</v>
      </c>
      <c r="C128">
        <f t="shared" ca="1" si="2"/>
        <v>2</v>
      </c>
      <c r="D128">
        <f t="shared" ca="1" si="3"/>
        <v>4</v>
      </c>
      <c r="E128">
        <v>1</v>
      </c>
      <c r="F128" s="10">
        <f ca="1">Table2[[#This Row],[Quantity]]*(INDEX(Models!G:G,MATCH(Table2[[#This Row],[ModelID]],Models!A:A,0)))</f>
        <v>28000</v>
      </c>
      <c r="G128" s="10">
        <f ca="1">Table2[[#This Row],[Quantity]]*(INDEX(Models!H:H,MATCH(Table2[[#This Row],[ModelID]],Models!A:A,0)))</f>
        <v>2800</v>
      </c>
      <c r="H128" t="str">
        <f ca="1">VLOOKUP(Table2[[#This Row],[DealerID]], Dealers!A:D, 4,FALSE)</f>
        <v xml:space="preserve"> Malaysia     </v>
      </c>
      <c r="I128" t="str">
        <f ca="1">VLOOKUP(Table2[[#This Row],[ModelID]],Models!A:C,3,FALSE)</f>
        <v xml:space="preserve"> CR-V            </v>
      </c>
      <c r="J128" s="5" t="str">
        <f ca="1">VLOOKUP(Table2[[#This Row],[ModelID]],Models!A:C,2,FALSE)</f>
        <v xml:space="preserve"> Honda      </v>
      </c>
      <c r="K128" s="5" t="str">
        <f ca="1">VLOOKUP(Table2[[#This Row],[DealerID]], Dealers!A:D, 3,FALSE)</f>
        <v xml:space="preserve"> George Town     </v>
      </c>
      <c r="L128" s="5" t="str">
        <f ca="1">VLOOKUP(Table2[[#This Row],[DealerID]], Dealers!A:D, 2,FALSE)</f>
        <v xml:space="preserve"> XYZ Cars         </v>
      </c>
    </row>
    <row r="129" spans="1:12" x14ac:dyDescent="0.25">
      <c r="A129">
        <v>128</v>
      </c>
      <c r="B129" s="1">
        <v>44798</v>
      </c>
      <c r="C129">
        <f t="shared" ca="1" si="2"/>
        <v>4</v>
      </c>
      <c r="D129">
        <f t="shared" ca="1" si="3"/>
        <v>7</v>
      </c>
      <c r="E129">
        <v>3</v>
      </c>
      <c r="F129" s="10">
        <f ca="1">Table2[[#This Row],[Quantity]]*(INDEX(Models!G:G,MATCH(Table2[[#This Row],[ModelID]],Models!A:A,0)))</f>
        <v>42000</v>
      </c>
      <c r="G129" s="10">
        <f ca="1">Table2[[#This Row],[Quantity]]*(INDEX(Models!H:H,MATCH(Table2[[#This Row],[ModelID]],Models!A:A,0)))</f>
        <v>4200</v>
      </c>
      <c r="H129" t="str">
        <f ca="1">VLOOKUP(Table2[[#This Row],[DealerID]], Dealers!A:D, 4,FALSE)</f>
        <v xml:space="preserve"> Philippines  </v>
      </c>
      <c r="I129" t="str">
        <f ca="1">VLOOKUP(Table2[[#This Row],[ModelID]],Models!A:C,3,FALSE)</f>
        <v xml:space="preserve"> Almera          </v>
      </c>
      <c r="J129" s="5" t="str">
        <f ca="1">VLOOKUP(Table2[[#This Row],[ModelID]],Models!A:C,2,FALSE)</f>
        <v xml:space="preserve"> Nissan     </v>
      </c>
      <c r="K129" s="5" t="str">
        <f ca="1">VLOOKUP(Table2[[#This Row],[DealerID]], Dealers!A:D, 3,FALSE)</f>
        <v xml:space="preserve"> Manila         </v>
      </c>
      <c r="L129" s="5" t="str">
        <f ca="1">VLOOKUP(Table2[[#This Row],[DealerID]], Dealers!A:D, 2,FALSE)</f>
        <v xml:space="preserve"> Manila Motors    </v>
      </c>
    </row>
    <row r="130" spans="1:12" x14ac:dyDescent="0.25">
      <c r="A130">
        <v>129</v>
      </c>
      <c r="B130" s="1">
        <v>44799</v>
      </c>
      <c r="C130">
        <f t="shared" ca="1" si="2"/>
        <v>1</v>
      </c>
      <c r="D130">
        <f t="shared" ca="1" si="3"/>
        <v>12</v>
      </c>
      <c r="E130">
        <v>1</v>
      </c>
      <c r="F130" s="10">
        <f ca="1">Table2[[#This Row],[Quantity]]*(INDEX(Models!G:G,MATCH(Table2[[#This Row],[ModelID]],Models!A:A,0)))</f>
        <v>34000</v>
      </c>
      <c r="G130" s="10">
        <f ca="1">Table2[[#This Row],[Quantity]]*(INDEX(Models!H:H,MATCH(Table2[[#This Row],[ModelID]],Models!A:A,0)))</f>
        <v>3400</v>
      </c>
      <c r="H130" t="str">
        <f ca="1">VLOOKUP(Table2[[#This Row],[DealerID]], Dealers!A:D, 4,FALSE)</f>
        <v xml:space="preserve"> Malaysia     </v>
      </c>
      <c r="I130" t="str">
        <f ca="1">VLOOKUP(Table2[[#This Row],[ModelID]],Models!A:C,3,FALSE)</f>
        <v xml:space="preserve"> Santa Fe        </v>
      </c>
      <c r="J130" s="5" t="str">
        <f ca="1">VLOOKUP(Table2[[#This Row],[ModelID]],Models!A:C,2,FALSE)</f>
        <v xml:space="preserve"> Hyundai    </v>
      </c>
      <c r="K130" s="5" t="str">
        <f ca="1">VLOOKUP(Table2[[#This Row],[DealerID]], Dealers!A:D, 3,FALSE)</f>
        <v xml:space="preserve"> Kuala Lumpur   </v>
      </c>
      <c r="L130" s="5" t="str">
        <f ca="1">VLOOKUP(Table2[[#This Row],[DealerID]], Dealers!A:D, 2,FALSE)</f>
        <v xml:space="preserve"> ABC Motors       </v>
      </c>
    </row>
    <row r="131" spans="1:12" x14ac:dyDescent="0.25">
      <c r="A131">
        <v>130</v>
      </c>
      <c r="B131" s="1">
        <v>44800</v>
      </c>
      <c r="C131">
        <f t="shared" ref="C131:C194" ca="1" si="4">RANDBETWEEN(1,10)</f>
        <v>9</v>
      </c>
      <c r="D131">
        <f t="shared" ref="D131:D194" ca="1" si="5">RANDBETWEEN(1,15)</f>
        <v>8</v>
      </c>
      <c r="E131">
        <v>1</v>
      </c>
      <c r="F131" s="10">
        <f ca="1">Table2[[#This Row],[Quantity]]*(INDEX(Models!G:G,MATCH(Table2[[#This Row],[ModelID]],Models!A:A,0)))</f>
        <v>26000</v>
      </c>
      <c r="G131" s="10">
        <f ca="1">Table2[[#This Row],[Quantity]]*(INDEX(Models!H:H,MATCH(Table2[[#This Row],[ModelID]],Models!A:A,0)))</f>
        <v>2600</v>
      </c>
      <c r="H131" t="str">
        <f ca="1">VLOOKUP(Table2[[#This Row],[DealerID]], Dealers!A:D, 4,FALSE)</f>
        <v xml:space="preserve"> Philippines  </v>
      </c>
      <c r="I131" t="str">
        <f ca="1">VLOOKUP(Table2[[#This Row],[ModelID]],Models!A:C,3,FALSE)</f>
        <v xml:space="preserve"> X-Trail         </v>
      </c>
      <c r="J131" s="5" t="str">
        <f ca="1">VLOOKUP(Table2[[#This Row],[ModelID]],Models!A:C,2,FALSE)</f>
        <v xml:space="preserve"> Nissan     </v>
      </c>
      <c r="K131" s="5" t="str">
        <f ca="1">VLOOKUP(Table2[[#This Row],[DealerID]], Dealers!A:D, 3,FALSE)</f>
        <v xml:space="preserve"> Iloilo City    </v>
      </c>
      <c r="L131" s="5" t="str">
        <f ca="1">VLOOKUP(Table2[[#This Row],[DealerID]], Dealers!A:D, 2,FALSE)</f>
        <v xml:space="preserve"> Iloilo Motors    </v>
      </c>
    </row>
    <row r="132" spans="1:12" x14ac:dyDescent="0.25">
      <c r="A132">
        <v>131</v>
      </c>
      <c r="B132" s="1">
        <v>44803</v>
      </c>
      <c r="C132">
        <f t="shared" ca="1" si="4"/>
        <v>3</v>
      </c>
      <c r="D132">
        <f t="shared" ca="1" si="5"/>
        <v>13</v>
      </c>
      <c r="E132">
        <v>2</v>
      </c>
      <c r="F132" s="10">
        <f ca="1">Table2[[#This Row],[Quantity]]*(INDEX(Models!G:G,MATCH(Table2[[#This Row],[ModelID]],Models!A:A,0)))</f>
        <v>24000</v>
      </c>
      <c r="G132" s="10">
        <f ca="1">Table2[[#This Row],[Quantity]]*(INDEX(Models!H:H,MATCH(Table2[[#This Row],[ModelID]],Models!A:A,0)))</f>
        <v>2400</v>
      </c>
      <c r="H132" t="str">
        <f ca="1">VLOOKUP(Table2[[#This Row],[DealerID]], Dealers!A:D, 4,FALSE)</f>
        <v xml:space="preserve"> Singapore    </v>
      </c>
      <c r="I132" t="str">
        <f ca="1">VLOOKUP(Table2[[#This Row],[ModelID]],Models!A:C,3,FALSE)</f>
        <v xml:space="preserve"> Persona         </v>
      </c>
      <c r="J132" s="5" t="str">
        <f ca="1">VLOOKUP(Table2[[#This Row],[ModelID]],Models!A:C,2,FALSE)</f>
        <v xml:space="preserve"> Proton     </v>
      </c>
      <c r="K132" s="5" t="str">
        <f ca="1">VLOOKUP(Table2[[#This Row],[DealerID]], Dealers!A:D, 3,FALSE)</f>
        <v xml:space="preserve"> Singapore      </v>
      </c>
      <c r="L132" s="5" t="str">
        <f ca="1">VLOOKUP(Table2[[#This Row],[DealerID]], Dealers!A:D, 2,FALSE)</f>
        <v xml:space="preserve"> Singapore Autos  </v>
      </c>
    </row>
    <row r="133" spans="1:12" x14ac:dyDescent="0.25">
      <c r="A133">
        <v>132</v>
      </c>
      <c r="B133" s="1">
        <v>44804</v>
      </c>
      <c r="C133">
        <f t="shared" ca="1" si="4"/>
        <v>1</v>
      </c>
      <c r="D133">
        <f t="shared" ca="1" si="5"/>
        <v>14</v>
      </c>
      <c r="E133">
        <v>1</v>
      </c>
      <c r="F133" s="10">
        <f ca="1">Table2[[#This Row],[Quantity]]*(INDEX(Models!G:G,MATCH(Table2[[#This Row],[ModelID]],Models!A:A,0)))</f>
        <v>25000</v>
      </c>
      <c r="G133" s="10">
        <f ca="1">Table2[[#This Row],[Quantity]]*(INDEX(Models!H:H,MATCH(Table2[[#This Row],[ModelID]],Models!A:A,0)))</f>
        <v>5000</v>
      </c>
      <c r="H133" t="str">
        <f ca="1">VLOOKUP(Table2[[#This Row],[DealerID]], Dealers!A:D, 4,FALSE)</f>
        <v xml:space="preserve"> Malaysia     </v>
      </c>
      <c r="I133" t="str">
        <f ca="1">VLOOKUP(Table2[[#This Row],[ModelID]],Models!A:C,3,FALSE)</f>
        <v xml:space="preserve"> X70             </v>
      </c>
      <c r="J133" s="5" t="str">
        <f ca="1">VLOOKUP(Table2[[#This Row],[ModelID]],Models!A:C,2,FALSE)</f>
        <v xml:space="preserve"> Proton     </v>
      </c>
      <c r="K133" s="5" t="str">
        <f ca="1">VLOOKUP(Table2[[#This Row],[DealerID]], Dealers!A:D, 3,FALSE)</f>
        <v xml:space="preserve"> Kuala Lumpur   </v>
      </c>
      <c r="L133" s="5" t="str">
        <f ca="1">VLOOKUP(Table2[[#This Row],[DealerID]], Dealers!A:D, 2,FALSE)</f>
        <v xml:space="preserve"> ABC Motors       </v>
      </c>
    </row>
    <row r="134" spans="1:12" x14ac:dyDescent="0.25">
      <c r="A134">
        <v>133</v>
      </c>
      <c r="B134" s="1">
        <v>44805</v>
      </c>
      <c r="C134">
        <f t="shared" ca="1" si="4"/>
        <v>6</v>
      </c>
      <c r="D134">
        <f t="shared" ca="1" si="5"/>
        <v>14</v>
      </c>
      <c r="E134">
        <v>3</v>
      </c>
      <c r="F134" s="10">
        <f ca="1">Table2[[#This Row],[Quantity]]*(INDEX(Models!G:G,MATCH(Table2[[#This Row],[ModelID]],Models!A:A,0)))</f>
        <v>75000</v>
      </c>
      <c r="G134" s="10">
        <f ca="1">Table2[[#This Row],[Quantity]]*(INDEX(Models!H:H,MATCH(Table2[[#This Row],[ModelID]],Models!A:A,0)))</f>
        <v>15000</v>
      </c>
      <c r="H134" t="str">
        <f ca="1">VLOOKUP(Table2[[#This Row],[DealerID]], Dealers!A:D, 4,FALSE)</f>
        <v xml:space="preserve"> Philippines  </v>
      </c>
      <c r="I134" t="str">
        <f ca="1">VLOOKUP(Table2[[#This Row],[ModelID]],Models!A:C,3,FALSE)</f>
        <v xml:space="preserve"> X70             </v>
      </c>
      <c r="J134" s="5" t="str">
        <f ca="1">VLOOKUP(Table2[[#This Row],[ModelID]],Models!A:C,2,FALSE)</f>
        <v xml:space="preserve"> Proton     </v>
      </c>
      <c r="K134" s="5" t="str">
        <f ca="1">VLOOKUP(Table2[[#This Row],[DealerID]], Dealers!A:D, 3,FALSE)</f>
        <v xml:space="preserve"> Davao City     </v>
      </c>
      <c r="L134" s="5" t="str">
        <f ca="1">VLOOKUP(Table2[[#This Row],[DealerID]], Dealers!A:D, 2,FALSE)</f>
        <v xml:space="preserve"> Davao Dealers    </v>
      </c>
    </row>
    <row r="135" spans="1:12" x14ac:dyDescent="0.25">
      <c r="A135">
        <v>134</v>
      </c>
      <c r="B135" s="1">
        <v>44806</v>
      </c>
      <c r="C135">
        <f t="shared" ca="1" si="4"/>
        <v>3</v>
      </c>
      <c r="D135">
        <f t="shared" ca="1" si="5"/>
        <v>7</v>
      </c>
      <c r="E135">
        <v>1</v>
      </c>
      <c r="F135" s="10">
        <f ca="1">Table2[[#This Row],[Quantity]]*(INDEX(Models!G:G,MATCH(Table2[[#This Row],[ModelID]],Models!A:A,0)))</f>
        <v>14000</v>
      </c>
      <c r="G135" s="10">
        <f ca="1">Table2[[#This Row],[Quantity]]*(INDEX(Models!H:H,MATCH(Table2[[#This Row],[ModelID]],Models!A:A,0)))</f>
        <v>1400</v>
      </c>
      <c r="H135" t="str">
        <f ca="1">VLOOKUP(Table2[[#This Row],[DealerID]], Dealers!A:D, 4,FALSE)</f>
        <v xml:space="preserve"> Singapore    </v>
      </c>
      <c r="I135" t="str">
        <f ca="1">VLOOKUP(Table2[[#This Row],[ModelID]],Models!A:C,3,FALSE)</f>
        <v xml:space="preserve"> Almera          </v>
      </c>
      <c r="J135" s="5" t="str">
        <f ca="1">VLOOKUP(Table2[[#This Row],[ModelID]],Models!A:C,2,FALSE)</f>
        <v xml:space="preserve"> Nissan     </v>
      </c>
      <c r="K135" s="5" t="str">
        <f ca="1">VLOOKUP(Table2[[#This Row],[DealerID]], Dealers!A:D, 3,FALSE)</f>
        <v xml:space="preserve"> Singapore      </v>
      </c>
      <c r="L135" s="5" t="str">
        <f ca="1">VLOOKUP(Table2[[#This Row],[DealerID]], Dealers!A:D, 2,FALSE)</f>
        <v xml:space="preserve"> Singapore Autos  </v>
      </c>
    </row>
    <row r="136" spans="1:12" x14ac:dyDescent="0.25">
      <c r="A136">
        <v>135</v>
      </c>
      <c r="B136" s="1">
        <v>44807</v>
      </c>
      <c r="C136">
        <f t="shared" ca="1" si="4"/>
        <v>1</v>
      </c>
      <c r="D136">
        <f t="shared" ca="1" si="5"/>
        <v>15</v>
      </c>
      <c r="E136">
        <v>2</v>
      </c>
      <c r="F136" s="10">
        <f ca="1">Table2[[#This Row],[Quantity]]*(INDEX(Models!G:G,MATCH(Table2[[#This Row],[ModelID]],Models!A:A,0)))</f>
        <v>48000</v>
      </c>
      <c r="G136" s="10">
        <f ca="1">Table2[[#This Row],[Quantity]]*(INDEX(Models!H:H,MATCH(Table2[[#This Row],[ModelID]],Models!A:A,0)))</f>
        <v>4800</v>
      </c>
      <c r="H136" t="str">
        <f ca="1">VLOOKUP(Table2[[#This Row],[DealerID]], Dealers!A:D, 4,FALSE)</f>
        <v xml:space="preserve"> Malaysia     </v>
      </c>
      <c r="I136" t="str">
        <f ca="1">VLOOKUP(Table2[[#This Row],[ModelID]],Models!A:C,3,FALSE)</f>
        <v xml:space="preserve"> Mazda3          </v>
      </c>
      <c r="J136" s="5" t="str">
        <f ca="1">VLOOKUP(Table2[[#This Row],[ModelID]],Models!A:C,2,FALSE)</f>
        <v xml:space="preserve"> Mazda      </v>
      </c>
      <c r="K136" s="5" t="str">
        <f ca="1">VLOOKUP(Table2[[#This Row],[DealerID]], Dealers!A:D, 3,FALSE)</f>
        <v xml:space="preserve"> Kuala Lumpur   </v>
      </c>
      <c r="L136" s="5" t="str">
        <f ca="1">VLOOKUP(Table2[[#This Row],[DealerID]], Dealers!A:D, 2,FALSE)</f>
        <v xml:space="preserve"> ABC Motors       </v>
      </c>
    </row>
    <row r="137" spans="1:12" x14ac:dyDescent="0.25">
      <c r="A137">
        <v>136</v>
      </c>
      <c r="B137" s="1">
        <v>44810</v>
      </c>
      <c r="C137">
        <f t="shared" ca="1" si="4"/>
        <v>9</v>
      </c>
      <c r="D137">
        <f t="shared" ca="1" si="5"/>
        <v>10</v>
      </c>
      <c r="E137">
        <v>1</v>
      </c>
      <c r="F137" s="10">
        <f ca="1">Table2[[#This Row],[Quantity]]*(INDEX(Models!G:G,MATCH(Table2[[#This Row],[ModelID]],Models!A:A,0)))</f>
        <v>32000</v>
      </c>
      <c r="G137" s="10">
        <f ca="1">Table2[[#This Row],[Quantity]]*(INDEX(Models!H:H,MATCH(Table2[[#This Row],[ModelID]],Models!A:A,0)))</f>
        <v>3200</v>
      </c>
      <c r="H137" t="str">
        <f ca="1">VLOOKUP(Table2[[#This Row],[DealerID]], Dealers!A:D, 4,FALSE)</f>
        <v xml:space="preserve"> Philippines  </v>
      </c>
      <c r="I137" t="str">
        <f ca="1">VLOOKUP(Table2[[#This Row],[ModelID]],Models!A:C,3,FALSE)</f>
        <v xml:space="preserve"> Outlander       </v>
      </c>
      <c r="J137" s="5" t="str">
        <f ca="1">VLOOKUP(Table2[[#This Row],[ModelID]],Models!A:C,2,FALSE)</f>
        <v xml:space="preserve"> Mitsubishi </v>
      </c>
      <c r="K137" s="5" t="str">
        <f ca="1">VLOOKUP(Table2[[#This Row],[DealerID]], Dealers!A:D, 3,FALSE)</f>
        <v xml:space="preserve"> Iloilo City    </v>
      </c>
      <c r="L137" s="5" t="str">
        <f ca="1">VLOOKUP(Table2[[#This Row],[DealerID]], Dealers!A:D, 2,FALSE)</f>
        <v xml:space="preserve"> Iloilo Motors    </v>
      </c>
    </row>
    <row r="138" spans="1:12" x14ac:dyDescent="0.25">
      <c r="A138">
        <v>137</v>
      </c>
      <c r="B138" s="1">
        <v>44811</v>
      </c>
      <c r="C138">
        <f t="shared" ca="1" si="4"/>
        <v>10</v>
      </c>
      <c r="D138">
        <f t="shared" ca="1" si="5"/>
        <v>5</v>
      </c>
      <c r="E138">
        <v>1</v>
      </c>
      <c r="F138" s="10">
        <f ca="1">Table2[[#This Row],[Quantity]]*(INDEX(Models!G:G,MATCH(Table2[[#This Row],[ModelID]],Models!A:A,0)))</f>
        <v>25000</v>
      </c>
      <c r="G138" s="10">
        <f ca="1">Table2[[#This Row],[Quantity]]*(INDEX(Models!H:H,MATCH(Table2[[#This Row],[ModelID]],Models!A:A,0)))</f>
        <v>2500</v>
      </c>
      <c r="H138" t="str">
        <f ca="1">VLOOKUP(Table2[[#This Row],[DealerID]], Dealers!A:D, 4,FALSE)</f>
        <v xml:space="preserve"> Philippines  </v>
      </c>
      <c r="I138" t="str">
        <f ca="1">VLOOKUP(Table2[[#This Row],[ModelID]],Models!A:C,3,FALSE)</f>
        <v xml:space="preserve"> Ranger          </v>
      </c>
      <c r="J138" s="5" t="str">
        <f ca="1">VLOOKUP(Table2[[#This Row],[ModelID]],Models!A:C,2,FALSE)</f>
        <v xml:space="preserve"> Ford       </v>
      </c>
      <c r="K138" s="5" t="str">
        <f ca="1">VLOOKUP(Table2[[#This Row],[DealerID]], Dealers!A:D, 3,FALSE)</f>
        <v xml:space="preserve"> Zamboanga City </v>
      </c>
      <c r="L138" s="5" t="str">
        <f ca="1">VLOOKUP(Table2[[#This Row],[DealerID]], Dealers!A:D, 2,FALSE)</f>
        <v xml:space="preserve"> Zamboanga Cars   </v>
      </c>
    </row>
    <row r="139" spans="1:12" x14ac:dyDescent="0.25">
      <c r="A139">
        <v>138</v>
      </c>
      <c r="B139" s="1">
        <v>44812</v>
      </c>
      <c r="C139">
        <f t="shared" ca="1" si="4"/>
        <v>10</v>
      </c>
      <c r="D139">
        <f t="shared" ca="1" si="5"/>
        <v>5</v>
      </c>
      <c r="E139">
        <v>3</v>
      </c>
      <c r="F139" s="10">
        <f ca="1">Table2[[#This Row],[Quantity]]*(INDEX(Models!G:G,MATCH(Table2[[#This Row],[ModelID]],Models!A:A,0)))</f>
        <v>75000</v>
      </c>
      <c r="G139" s="10">
        <f ca="1">Table2[[#This Row],[Quantity]]*(INDEX(Models!H:H,MATCH(Table2[[#This Row],[ModelID]],Models!A:A,0)))</f>
        <v>7500</v>
      </c>
      <c r="H139" t="str">
        <f ca="1">VLOOKUP(Table2[[#This Row],[DealerID]], Dealers!A:D, 4,FALSE)</f>
        <v xml:space="preserve"> Philippines  </v>
      </c>
      <c r="I139" t="str">
        <f ca="1">VLOOKUP(Table2[[#This Row],[ModelID]],Models!A:C,3,FALSE)</f>
        <v xml:space="preserve"> Ranger          </v>
      </c>
      <c r="J139" s="5" t="str">
        <f ca="1">VLOOKUP(Table2[[#This Row],[ModelID]],Models!A:C,2,FALSE)</f>
        <v xml:space="preserve"> Ford       </v>
      </c>
      <c r="K139" s="5" t="str">
        <f ca="1">VLOOKUP(Table2[[#This Row],[DealerID]], Dealers!A:D, 3,FALSE)</f>
        <v xml:space="preserve"> Zamboanga City </v>
      </c>
      <c r="L139" s="5" t="str">
        <f ca="1">VLOOKUP(Table2[[#This Row],[DealerID]], Dealers!A:D, 2,FALSE)</f>
        <v xml:space="preserve"> Zamboanga Cars   </v>
      </c>
    </row>
    <row r="140" spans="1:12" x14ac:dyDescent="0.25">
      <c r="A140">
        <v>139</v>
      </c>
      <c r="B140" s="1">
        <v>44813</v>
      </c>
      <c r="C140">
        <f t="shared" ca="1" si="4"/>
        <v>5</v>
      </c>
      <c r="D140">
        <f t="shared" ca="1" si="5"/>
        <v>12</v>
      </c>
      <c r="E140">
        <v>1</v>
      </c>
      <c r="F140" s="10">
        <f ca="1">Table2[[#This Row],[Quantity]]*(INDEX(Models!G:G,MATCH(Table2[[#This Row],[ModelID]],Models!A:A,0)))</f>
        <v>34000</v>
      </c>
      <c r="G140" s="10">
        <f ca="1">Table2[[#This Row],[Quantity]]*(INDEX(Models!H:H,MATCH(Table2[[#This Row],[ModelID]],Models!A:A,0)))</f>
        <v>3400</v>
      </c>
      <c r="H140" t="str">
        <f ca="1">VLOOKUP(Table2[[#This Row],[DealerID]], Dealers!A:D, 4,FALSE)</f>
        <v xml:space="preserve"> Philippines  </v>
      </c>
      <c r="I140" t="str">
        <f ca="1">VLOOKUP(Table2[[#This Row],[ModelID]],Models!A:C,3,FALSE)</f>
        <v xml:space="preserve"> Santa Fe        </v>
      </c>
      <c r="J140" s="5" t="str">
        <f ca="1">VLOOKUP(Table2[[#This Row],[ModelID]],Models!A:C,2,FALSE)</f>
        <v xml:space="preserve"> Hyundai    </v>
      </c>
      <c r="K140" s="5" t="str">
        <f ca="1">VLOOKUP(Table2[[#This Row],[DealerID]], Dealers!A:D, 3,FALSE)</f>
        <v xml:space="preserve"> Cebu City      </v>
      </c>
      <c r="L140" s="5" t="str">
        <f ca="1">VLOOKUP(Table2[[#This Row],[DealerID]], Dealers!A:D, 2,FALSE)</f>
        <v xml:space="preserve"> Cebu Cars        </v>
      </c>
    </row>
    <row r="141" spans="1:12" x14ac:dyDescent="0.25">
      <c r="A141">
        <v>140</v>
      </c>
      <c r="B141" s="1">
        <v>44814</v>
      </c>
      <c r="C141">
        <f t="shared" ca="1" si="4"/>
        <v>8</v>
      </c>
      <c r="D141">
        <f t="shared" ca="1" si="5"/>
        <v>12</v>
      </c>
      <c r="E141">
        <v>1</v>
      </c>
      <c r="F141" s="10">
        <f ca="1">Table2[[#This Row],[Quantity]]*(INDEX(Models!G:G,MATCH(Table2[[#This Row],[ModelID]],Models!A:A,0)))</f>
        <v>34000</v>
      </c>
      <c r="G141" s="10">
        <f ca="1">Table2[[#This Row],[Quantity]]*(INDEX(Models!H:H,MATCH(Table2[[#This Row],[ModelID]],Models!A:A,0)))</f>
        <v>3400</v>
      </c>
      <c r="H141" t="str">
        <f ca="1">VLOOKUP(Table2[[#This Row],[DealerID]], Dealers!A:D, 4,FALSE)</f>
        <v xml:space="preserve"> Philippines  </v>
      </c>
      <c r="I141" t="str">
        <f ca="1">VLOOKUP(Table2[[#This Row],[ModelID]],Models!A:C,3,FALSE)</f>
        <v xml:space="preserve"> Santa Fe        </v>
      </c>
      <c r="J141" s="5" t="str">
        <f ca="1">VLOOKUP(Table2[[#This Row],[ModelID]],Models!A:C,2,FALSE)</f>
        <v xml:space="preserve"> Hyundai    </v>
      </c>
      <c r="K141" s="5" t="str">
        <f ca="1">VLOOKUP(Table2[[#This Row],[DealerID]], Dealers!A:D, 3,FALSE)</f>
        <v xml:space="preserve"> Bacolod City   </v>
      </c>
      <c r="L141" s="5" t="str">
        <f ca="1">VLOOKUP(Table2[[#This Row],[DealerID]], Dealers!A:D, 2,FALSE)</f>
        <v xml:space="preserve"> Bacolod Autos    </v>
      </c>
    </row>
    <row r="142" spans="1:12" x14ac:dyDescent="0.25">
      <c r="A142">
        <v>141</v>
      </c>
      <c r="B142" s="1">
        <v>44817</v>
      </c>
      <c r="C142">
        <f t="shared" ca="1" si="4"/>
        <v>2</v>
      </c>
      <c r="D142">
        <f t="shared" ca="1" si="5"/>
        <v>12</v>
      </c>
      <c r="E142">
        <v>2</v>
      </c>
      <c r="F142" s="10">
        <f ca="1">Table2[[#This Row],[Quantity]]*(INDEX(Models!G:G,MATCH(Table2[[#This Row],[ModelID]],Models!A:A,0)))</f>
        <v>68000</v>
      </c>
      <c r="G142" s="10">
        <f ca="1">Table2[[#This Row],[Quantity]]*(INDEX(Models!H:H,MATCH(Table2[[#This Row],[ModelID]],Models!A:A,0)))</f>
        <v>6800</v>
      </c>
      <c r="H142" t="str">
        <f ca="1">VLOOKUP(Table2[[#This Row],[DealerID]], Dealers!A:D, 4,FALSE)</f>
        <v xml:space="preserve"> Malaysia     </v>
      </c>
      <c r="I142" t="str">
        <f ca="1">VLOOKUP(Table2[[#This Row],[ModelID]],Models!A:C,3,FALSE)</f>
        <v xml:space="preserve"> Santa Fe        </v>
      </c>
      <c r="J142" s="5" t="str">
        <f ca="1">VLOOKUP(Table2[[#This Row],[ModelID]],Models!A:C,2,FALSE)</f>
        <v xml:space="preserve"> Hyundai    </v>
      </c>
      <c r="K142" s="5" t="str">
        <f ca="1">VLOOKUP(Table2[[#This Row],[DealerID]], Dealers!A:D, 3,FALSE)</f>
        <v xml:space="preserve"> George Town     </v>
      </c>
      <c r="L142" s="5" t="str">
        <f ca="1">VLOOKUP(Table2[[#This Row],[DealerID]], Dealers!A:D, 2,FALSE)</f>
        <v xml:space="preserve"> XYZ Cars         </v>
      </c>
    </row>
    <row r="143" spans="1:12" x14ac:dyDescent="0.25">
      <c r="A143">
        <v>142</v>
      </c>
      <c r="B143" s="1">
        <v>44818</v>
      </c>
      <c r="C143">
        <f t="shared" ca="1" si="4"/>
        <v>7</v>
      </c>
      <c r="D143">
        <f t="shared" ca="1" si="5"/>
        <v>14</v>
      </c>
      <c r="E143">
        <v>1</v>
      </c>
      <c r="F143" s="10">
        <f ca="1">Table2[[#This Row],[Quantity]]*(INDEX(Models!G:G,MATCH(Table2[[#This Row],[ModelID]],Models!A:A,0)))</f>
        <v>25000</v>
      </c>
      <c r="G143" s="10">
        <f ca="1">Table2[[#This Row],[Quantity]]*(INDEX(Models!H:H,MATCH(Table2[[#This Row],[ModelID]],Models!A:A,0)))</f>
        <v>5000</v>
      </c>
      <c r="H143" t="str">
        <f ca="1">VLOOKUP(Table2[[#This Row],[DealerID]], Dealers!A:D, 4,FALSE)</f>
        <v xml:space="preserve"> Philippines  </v>
      </c>
      <c r="I143" t="str">
        <f ca="1">VLOOKUP(Table2[[#This Row],[ModelID]],Models!A:C,3,FALSE)</f>
        <v xml:space="preserve"> X70             </v>
      </c>
      <c r="J143" s="5" t="str">
        <f ca="1">VLOOKUP(Table2[[#This Row],[ModelID]],Models!A:C,2,FALSE)</f>
        <v xml:space="preserve"> Proton     </v>
      </c>
      <c r="K143" s="5" t="str">
        <f ca="1">VLOOKUP(Table2[[#This Row],[DealerID]], Dealers!A:D, 3,FALSE)</f>
        <v xml:space="preserve"> Quezon City    </v>
      </c>
      <c r="L143" s="5" t="str">
        <f ca="1">VLOOKUP(Table2[[#This Row],[DealerID]], Dealers!A:D, 2,FALSE)</f>
        <v xml:space="preserve"> Quezon Vehicles  </v>
      </c>
    </row>
    <row r="144" spans="1:12" x14ac:dyDescent="0.25">
      <c r="A144">
        <v>143</v>
      </c>
      <c r="B144" s="1">
        <v>44819</v>
      </c>
      <c r="C144">
        <f t="shared" ca="1" si="4"/>
        <v>5</v>
      </c>
      <c r="D144">
        <f t="shared" ca="1" si="5"/>
        <v>15</v>
      </c>
      <c r="E144">
        <v>3</v>
      </c>
      <c r="F144" s="10">
        <f ca="1">Table2[[#This Row],[Quantity]]*(INDEX(Models!G:G,MATCH(Table2[[#This Row],[ModelID]],Models!A:A,0)))</f>
        <v>72000</v>
      </c>
      <c r="G144" s="10">
        <f ca="1">Table2[[#This Row],[Quantity]]*(INDEX(Models!H:H,MATCH(Table2[[#This Row],[ModelID]],Models!A:A,0)))</f>
        <v>7200</v>
      </c>
      <c r="H144" t="str">
        <f ca="1">VLOOKUP(Table2[[#This Row],[DealerID]], Dealers!A:D, 4,FALSE)</f>
        <v xml:space="preserve"> Philippines  </v>
      </c>
      <c r="I144" t="str">
        <f ca="1">VLOOKUP(Table2[[#This Row],[ModelID]],Models!A:C,3,FALSE)</f>
        <v xml:space="preserve"> Mazda3          </v>
      </c>
      <c r="J144" s="5" t="str">
        <f ca="1">VLOOKUP(Table2[[#This Row],[ModelID]],Models!A:C,2,FALSE)</f>
        <v xml:space="preserve"> Mazda      </v>
      </c>
      <c r="K144" s="5" t="str">
        <f ca="1">VLOOKUP(Table2[[#This Row],[DealerID]], Dealers!A:D, 3,FALSE)</f>
        <v xml:space="preserve"> Cebu City      </v>
      </c>
      <c r="L144" s="5" t="str">
        <f ca="1">VLOOKUP(Table2[[#This Row],[DealerID]], Dealers!A:D, 2,FALSE)</f>
        <v xml:space="preserve"> Cebu Cars        </v>
      </c>
    </row>
    <row r="145" spans="1:12" x14ac:dyDescent="0.25">
      <c r="A145">
        <v>144</v>
      </c>
      <c r="B145" s="1">
        <v>44820</v>
      </c>
      <c r="C145">
        <f t="shared" ca="1" si="4"/>
        <v>7</v>
      </c>
      <c r="D145">
        <f t="shared" ca="1" si="5"/>
        <v>1</v>
      </c>
      <c r="E145">
        <v>1</v>
      </c>
      <c r="F145" s="10">
        <f ca="1">Table2[[#This Row],[Quantity]]*(INDEX(Models!G:G,MATCH(Table2[[#This Row],[ModelID]],Models!A:A,0)))</f>
        <v>15000</v>
      </c>
      <c r="G145" s="10">
        <f ca="1">Table2[[#This Row],[Quantity]]*(INDEX(Models!H:H,MATCH(Table2[[#This Row],[ModelID]],Models!A:A,0)))</f>
        <v>1500</v>
      </c>
      <c r="H145" t="str">
        <f ca="1">VLOOKUP(Table2[[#This Row],[DealerID]], Dealers!A:D, 4,FALSE)</f>
        <v xml:space="preserve"> Philippines  </v>
      </c>
      <c r="I145" t="str">
        <f ca="1">VLOOKUP(Table2[[#This Row],[ModelID]],Models!A:C,3,FALSE)</f>
        <v xml:space="preserve"> Vios            </v>
      </c>
      <c r="J145" s="5" t="str">
        <f ca="1">VLOOKUP(Table2[[#This Row],[ModelID]],Models!A:C,2,FALSE)</f>
        <v xml:space="preserve"> Toyota     </v>
      </c>
      <c r="K145" s="5" t="str">
        <f ca="1">VLOOKUP(Table2[[#This Row],[DealerID]], Dealers!A:D, 3,FALSE)</f>
        <v xml:space="preserve"> Quezon City    </v>
      </c>
      <c r="L145" s="5" t="str">
        <f ca="1">VLOOKUP(Table2[[#This Row],[DealerID]], Dealers!A:D, 2,FALSE)</f>
        <v xml:space="preserve"> Quezon Vehicles  </v>
      </c>
    </row>
    <row r="146" spans="1:12" x14ac:dyDescent="0.25">
      <c r="A146">
        <v>145</v>
      </c>
      <c r="B146" s="1">
        <v>44821</v>
      </c>
      <c r="C146">
        <f t="shared" ca="1" si="4"/>
        <v>9</v>
      </c>
      <c r="D146">
        <f t="shared" ca="1" si="5"/>
        <v>13</v>
      </c>
      <c r="E146">
        <v>2</v>
      </c>
      <c r="F146" s="10">
        <f ca="1">Table2[[#This Row],[Quantity]]*(INDEX(Models!G:G,MATCH(Table2[[#This Row],[ModelID]],Models!A:A,0)))</f>
        <v>24000</v>
      </c>
      <c r="G146" s="10">
        <f ca="1">Table2[[#This Row],[Quantity]]*(INDEX(Models!H:H,MATCH(Table2[[#This Row],[ModelID]],Models!A:A,0)))</f>
        <v>2400</v>
      </c>
      <c r="H146" t="str">
        <f ca="1">VLOOKUP(Table2[[#This Row],[DealerID]], Dealers!A:D, 4,FALSE)</f>
        <v xml:space="preserve"> Philippines  </v>
      </c>
      <c r="I146" t="str">
        <f ca="1">VLOOKUP(Table2[[#This Row],[ModelID]],Models!A:C,3,FALSE)</f>
        <v xml:space="preserve"> Persona         </v>
      </c>
      <c r="J146" s="5" t="str">
        <f ca="1">VLOOKUP(Table2[[#This Row],[ModelID]],Models!A:C,2,FALSE)</f>
        <v xml:space="preserve"> Proton     </v>
      </c>
      <c r="K146" s="5" t="str">
        <f ca="1">VLOOKUP(Table2[[#This Row],[DealerID]], Dealers!A:D, 3,FALSE)</f>
        <v xml:space="preserve"> Iloilo City    </v>
      </c>
      <c r="L146" s="5" t="str">
        <f ca="1">VLOOKUP(Table2[[#This Row],[DealerID]], Dealers!A:D, 2,FALSE)</f>
        <v xml:space="preserve"> Iloilo Motors    </v>
      </c>
    </row>
    <row r="147" spans="1:12" x14ac:dyDescent="0.25">
      <c r="A147">
        <v>146</v>
      </c>
      <c r="B147" s="1">
        <v>44824</v>
      </c>
      <c r="C147">
        <f t="shared" ca="1" si="4"/>
        <v>5</v>
      </c>
      <c r="D147">
        <f t="shared" ca="1" si="5"/>
        <v>8</v>
      </c>
      <c r="E147">
        <v>1</v>
      </c>
      <c r="F147" s="10">
        <f ca="1">Table2[[#This Row],[Quantity]]*(INDEX(Models!G:G,MATCH(Table2[[#This Row],[ModelID]],Models!A:A,0)))</f>
        <v>26000</v>
      </c>
      <c r="G147" s="10">
        <f ca="1">Table2[[#This Row],[Quantity]]*(INDEX(Models!H:H,MATCH(Table2[[#This Row],[ModelID]],Models!A:A,0)))</f>
        <v>2600</v>
      </c>
      <c r="H147" t="str">
        <f ca="1">VLOOKUP(Table2[[#This Row],[DealerID]], Dealers!A:D, 4,FALSE)</f>
        <v xml:space="preserve"> Philippines  </v>
      </c>
      <c r="I147" t="str">
        <f ca="1">VLOOKUP(Table2[[#This Row],[ModelID]],Models!A:C,3,FALSE)</f>
        <v xml:space="preserve"> X-Trail         </v>
      </c>
      <c r="J147" s="5" t="str">
        <f ca="1">VLOOKUP(Table2[[#This Row],[ModelID]],Models!A:C,2,FALSE)</f>
        <v xml:space="preserve"> Nissan     </v>
      </c>
      <c r="K147" s="5" t="str">
        <f ca="1">VLOOKUP(Table2[[#This Row],[DealerID]], Dealers!A:D, 3,FALSE)</f>
        <v xml:space="preserve"> Cebu City      </v>
      </c>
      <c r="L147" s="5" t="str">
        <f ca="1">VLOOKUP(Table2[[#This Row],[DealerID]], Dealers!A:D, 2,FALSE)</f>
        <v xml:space="preserve"> Cebu Cars        </v>
      </c>
    </row>
    <row r="148" spans="1:12" x14ac:dyDescent="0.25">
      <c r="A148">
        <v>147</v>
      </c>
      <c r="B148" s="1">
        <v>44825</v>
      </c>
      <c r="C148">
        <f t="shared" ca="1" si="4"/>
        <v>3</v>
      </c>
      <c r="D148">
        <f t="shared" ca="1" si="5"/>
        <v>5</v>
      </c>
      <c r="E148">
        <v>1</v>
      </c>
      <c r="F148" s="10">
        <f ca="1">Table2[[#This Row],[Quantity]]*(INDEX(Models!G:G,MATCH(Table2[[#This Row],[ModelID]],Models!A:A,0)))</f>
        <v>25000</v>
      </c>
      <c r="G148" s="10">
        <f ca="1">Table2[[#This Row],[Quantity]]*(INDEX(Models!H:H,MATCH(Table2[[#This Row],[ModelID]],Models!A:A,0)))</f>
        <v>2500</v>
      </c>
      <c r="H148" t="str">
        <f ca="1">VLOOKUP(Table2[[#This Row],[DealerID]], Dealers!A:D, 4,FALSE)</f>
        <v xml:space="preserve"> Singapore    </v>
      </c>
      <c r="I148" t="str">
        <f ca="1">VLOOKUP(Table2[[#This Row],[ModelID]],Models!A:C,3,FALSE)</f>
        <v xml:space="preserve"> Ranger          </v>
      </c>
      <c r="J148" s="5" t="str">
        <f ca="1">VLOOKUP(Table2[[#This Row],[ModelID]],Models!A:C,2,FALSE)</f>
        <v xml:space="preserve"> Ford       </v>
      </c>
      <c r="K148" s="5" t="str">
        <f ca="1">VLOOKUP(Table2[[#This Row],[DealerID]], Dealers!A:D, 3,FALSE)</f>
        <v xml:space="preserve"> Singapore      </v>
      </c>
      <c r="L148" s="5" t="str">
        <f ca="1">VLOOKUP(Table2[[#This Row],[DealerID]], Dealers!A:D, 2,FALSE)</f>
        <v xml:space="preserve"> Singapore Autos  </v>
      </c>
    </row>
    <row r="149" spans="1:12" x14ac:dyDescent="0.25">
      <c r="A149">
        <v>148</v>
      </c>
      <c r="B149" s="1">
        <v>44826</v>
      </c>
      <c r="C149">
        <f t="shared" ca="1" si="4"/>
        <v>3</v>
      </c>
      <c r="D149">
        <f t="shared" ca="1" si="5"/>
        <v>8</v>
      </c>
      <c r="E149">
        <v>3</v>
      </c>
      <c r="F149" s="10">
        <f ca="1">Table2[[#This Row],[Quantity]]*(INDEX(Models!G:G,MATCH(Table2[[#This Row],[ModelID]],Models!A:A,0)))</f>
        <v>78000</v>
      </c>
      <c r="G149" s="10">
        <f ca="1">Table2[[#This Row],[Quantity]]*(INDEX(Models!H:H,MATCH(Table2[[#This Row],[ModelID]],Models!A:A,0)))</f>
        <v>7800</v>
      </c>
      <c r="H149" t="str">
        <f ca="1">VLOOKUP(Table2[[#This Row],[DealerID]], Dealers!A:D, 4,FALSE)</f>
        <v xml:space="preserve"> Singapore    </v>
      </c>
      <c r="I149" t="str">
        <f ca="1">VLOOKUP(Table2[[#This Row],[ModelID]],Models!A:C,3,FALSE)</f>
        <v xml:space="preserve"> X-Trail         </v>
      </c>
      <c r="J149" s="5" t="str">
        <f ca="1">VLOOKUP(Table2[[#This Row],[ModelID]],Models!A:C,2,FALSE)</f>
        <v xml:space="preserve"> Nissan     </v>
      </c>
      <c r="K149" s="5" t="str">
        <f ca="1">VLOOKUP(Table2[[#This Row],[DealerID]], Dealers!A:D, 3,FALSE)</f>
        <v xml:space="preserve"> Singapore      </v>
      </c>
      <c r="L149" s="5" t="str">
        <f ca="1">VLOOKUP(Table2[[#This Row],[DealerID]], Dealers!A:D, 2,FALSE)</f>
        <v xml:space="preserve"> Singapore Autos  </v>
      </c>
    </row>
    <row r="150" spans="1:12" x14ac:dyDescent="0.25">
      <c r="A150">
        <v>149</v>
      </c>
      <c r="B150" s="1">
        <v>44827</v>
      </c>
      <c r="C150">
        <f t="shared" ca="1" si="4"/>
        <v>7</v>
      </c>
      <c r="D150">
        <f t="shared" ca="1" si="5"/>
        <v>2</v>
      </c>
      <c r="E150">
        <v>1</v>
      </c>
      <c r="F150" s="10">
        <f ca="1">Table2[[#This Row],[Quantity]]*(INDEX(Models!G:G,MATCH(Table2[[#This Row],[ModelID]],Models!A:A,0)))</f>
        <v>20000</v>
      </c>
      <c r="G150" s="10">
        <f ca="1">Table2[[#This Row],[Quantity]]*(INDEX(Models!H:H,MATCH(Table2[[#This Row],[ModelID]],Models!A:A,0)))</f>
        <v>2000</v>
      </c>
      <c r="H150" t="str">
        <f ca="1">VLOOKUP(Table2[[#This Row],[DealerID]], Dealers!A:D, 4,FALSE)</f>
        <v xml:space="preserve"> Philippines  </v>
      </c>
      <c r="I150" t="str">
        <f ca="1">VLOOKUP(Table2[[#This Row],[ModelID]],Models!A:C,3,FALSE)</f>
        <v xml:space="preserve"> Corolla Altis   </v>
      </c>
      <c r="J150" s="5" t="str">
        <f ca="1">VLOOKUP(Table2[[#This Row],[ModelID]],Models!A:C,2,FALSE)</f>
        <v xml:space="preserve"> Toyota     </v>
      </c>
      <c r="K150" s="5" t="str">
        <f ca="1">VLOOKUP(Table2[[#This Row],[DealerID]], Dealers!A:D, 3,FALSE)</f>
        <v xml:space="preserve"> Quezon City    </v>
      </c>
      <c r="L150" s="5" t="str">
        <f ca="1">VLOOKUP(Table2[[#This Row],[DealerID]], Dealers!A:D, 2,FALSE)</f>
        <v xml:space="preserve"> Quezon Vehicles  </v>
      </c>
    </row>
    <row r="151" spans="1:12" x14ac:dyDescent="0.25">
      <c r="A151">
        <v>150</v>
      </c>
      <c r="B151" s="1">
        <v>44828</v>
      </c>
      <c r="C151">
        <f t="shared" ca="1" si="4"/>
        <v>6</v>
      </c>
      <c r="D151">
        <f t="shared" ca="1" si="5"/>
        <v>12</v>
      </c>
      <c r="E151">
        <v>1</v>
      </c>
      <c r="F151" s="10">
        <f ca="1">Table2[[#This Row],[Quantity]]*(INDEX(Models!G:G,MATCH(Table2[[#This Row],[ModelID]],Models!A:A,0)))</f>
        <v>34000</v>
      </c>
      <c r="G151" s="10">
        <f ca="1">Table2[[#This Row],[Quantity]]*(INDEX(Models!H:H,MATCH(Table2[[#This Row],[ModelID]],Models!A:A,0)))</f>
        <v>3400</v>
      </c>
      <c r="H151" t="str">
        <f ca="1">VLOOKUP(Table2[[#This Row],[DealerID]], Dealers!A:D, 4,FALSE)</f>
        <v xml:space="preserve"> Philippines  </v>
      </c>
      <c r="I151" t="str">
        <f ca="1">VLOOKUP(Table2[[#This Row],[ModelID]],Models!A:C,3,FALSE)</f>
        <v xml:space="preserve"> Santa Fe        </v>
      </c>
      <c r="J151" s="5" t="str">
        <f ca="1">VLOOKUP(Table2[[#This Row],[ModelID]],Models!A:C,2,FALSE)</f>
        <v xml:space="preserve"> Hyundai    </v>
      </c>
      <c r="K151" s="5" t="str">
        <f ca="1">VLOOKUP(Table2[[#This Row],[DealerID]], Dealers!A:D, 3,FALSE)</f>
        <v xml:space="preserve"> Davao City     </v>
      </c>
      <c r="L151" s="5" t="str">
        <f ca="1">VLOOKUP(Table2[[#This Row],[DealerID]], Dealers!A:D, 2,FALSE)</f>
        <v xml:space="preserve"> Davao Dealers    </v>
      </c>
    </row>
    <row r="152" spans="1:12" x14ac:dyDescent="0.25">
      <c r="A152">
        <v>151</v>
      </c>
      <c r="B152" s="1">
        <v>44831</v>
      </c>
      <c r="C152">
        <f t="shared" ca="1" si="4"/>
        <v>8</v>
      </c>
      <c r="D152">
        <f t="shared" ca="1" si="5"/>
        <v>10</v>
      </c>
      <c r="E152">
        <v>2</v>
      </c>
      <c r="F152" s="10">
        <f ca="1">Table2[[#This Row],[Quantity]]*(INDEX(Models!G:G,MATCH(Table2[[#This Row],[ModelID]],Models!A:A,0)))</f>
        <v>64000</v>
      </c>
      <c r="G152" s="10">
        <f ca="1">Table2[[#This Row],[Quantity]]*(INDEX(Models!H:H,MATCH(Table2[[#This Row],[ModelID]],Models!A:A,0)))</f>
        <v>6400</v>
      </c>
      <c r="H152" t="str">
        <f ca="1">VLOOKUP(Table2[[#This Row],[DealerID]], Dealers!A:D, 4,FALSE)</f>
        <v xml:space="preserve"> Philippines  </v>
      </c>
      <c r="I152" t="str">
        <f ca="1">VLOOKUP(Table2[[#This Row],[ModelID]],Models!A:C,3,FALSE)</f>
        <v xml:space="preserve"> Outlander       </v>
      </c>
      <c r="J152" s="5" t="str">
        <f ca="1">VLOOKUP(Table2[[#This Row],[ModelID]],Models!A:C,2,FALSE)</f>
        <v xml:space="preserve"> Mitsubishi </v>
      </c>
      <c r="K152" s="5" t="str">
        <f ca="1">VLOOKUP(Table2[[#This Row],[DealerID]], Dealers!A:D, 3,FALSE)</f>
        <v xml:space="preserve"> Bacolod City   </v>
      </c>
      <c r="L152" s="5" t="str">
        <f ca="1">VLOOKUP(Table2[[#This Row],[DealerID]], Dealers!A:D, 2,FALSE)</f>
        <v xml:space="preserve"> Bacolod Autos    </v>
      </c>
    </row>
    <row r="153" spans="1:12" x14ac:dyDescent="0.25">
      <c r="A153">
        <v>152</v>
      </c>
      <c r="B153" s="1">
        <v>44832</v>
      </c>
      <c r="C153">
        <f t="shared" ca="1" si="4"/>
        <v>5</v>
      </c>
      <c r="D153">
        <f t="shared" ca="1" si="5"/>
        <v>11</v>
      </c>
      <c r="E153">
        <v>1</v>
      </c>
      <c r="F153" s="10">
        <f ca="1">Table2[[#This Row],[Quantity]]*(INDEX(Models!G:G,MATCH(Table2[[#This Row],[ModelID]],Models!A:A,0)))</f>
        <v>16000</v>
      </c>
      <c r="G153" s="10">
        <f ca="1">Table2[[#This Row],[Quantity]]*(INDEX(Models!H:H,MATCH(Table2[[#This Row],[ModelID]],Models!A:A,0)))</f>
        <v>3200</v>
      </c>
      <c r="H153" t="str">
        <f ca="1">VLOOKUP(Table2[[#This Row],[DealerID]], Dealers!A:D, 4,FALSE)</f>
        <v xml:space="preserve"> Philippines  </v>
      </c>
      <c r="I153" t="str">
        <f ca="1">VLOOKUP(Table2[[#This Row],[ModelID]],Models!A:C,3,FALSE)</f>
        <v xml:space="preserve"> Accent          </v>
      </c>
      <c r="J153" s="5" t="str">
        <f ca="1">VLOOKUP(Table2[[#This Row],[ModelID]],Models!A:C,2,FALSE)</f>
        <v xml:space="preserve"> Hyundai    </v>
      </c>
      <c r="K153" s="5" t="str">
        <f ca="1">VLOOKUP(Table2[[#This Row],[DealerID]], Dealers!A:D, 3,FALSE)</f>
        <v xml:space="preserve"> Cebu City      </v>
      </c>
      <c r="L153" s="5" t="str">
        <f ca="1">VLOOKUP(Table2[[#This Row],[DealerID]], Dealers!A:D, 2,FALSE)</f>
        <v xml:space="preserve"> Cebu Cars        </v>
      </c>
    </row>
    <row r="154" spans="1:12" x14ac:dyDescent="0.25">
      <c r="A154">
        <v>153</v>
      </c>
      <c r="B154" s="1">
        <v>44833</v>
      </c>
      <c r="C154">
        <f t="shared" ca="1" si="4"/>
        <v>2</v>
      </c>
      <c r="D154">
        <f t="shared" ca="1" si="5"/>
        <v>12</v>
      </c>
      <c r="E154">
        <v>3</v>
      </c>
      <c r="F154" s="10">
        <f ca="1">Table2[[#This Row],[Quantity]]*(INDEX(Models!G:G,MATCH(Table2[[#This Row],[ModelID]],Models!A:A,0)))</f>
        <v>102000</v>
      </c>
      <c r="G154" s="10">
        <f ca="1">Table2[[#This Row],[Quantity]]*(INDEX(Models!H:H,MATCH(Table2[[#This Row],[ModelID]],Models!A:A,0)))</f>
        <v>10200</v>
      </c>
      <c r="H154" t="str">
        <f ca="1">VLOOKUP(Table2[[#This Row],[DealerID]], Dealers!A:D, 4,FALSE)</f>
        <v xml:space="preserve"> Malaysia     </v>
      </c>
      <c r="I154" t="str">
        <f ca="1">VLOOKUP(Table2[[#This Row],[ModelID]],Models!A:C,3,FALSE)</f>
        <v xml:space="preserve"> Santa Fe        </v>
      </c>
      <c r="J154" s="5" t="str">
        <f ca="1">VLOOKUP(Table2[[#This Row],[ModelID]],Models!A:C,2,FALSE)</f>
        <v xml:space="preserve"> Hyundai    </v>
      </c>
      <c r="K154" s="5" t="str">
        <f ca="1">VLOOKUP(Table2[[#This Row],[DealerID]], Dealers!A:D, 3,FALSE)</f>
        <v xml:space="preserve"> George Town     </v>
      </c>
      <c r="L154" s="5" t="str">
        <f ca="1">VLOOKUP(Table2[[#This Row],[DealerID]], Dealers!A:D, 2,FALSE)</f>
        <v xml:space="preserve"> XYZ Cars         </v>
      </c>
    </row>
    <row r="155" spans="1:12" x14ac:dyDescent="0.25">
      <c r="A155">
        <v>154</v>
      </c>
      <c r="B155" s="1">
        <v>44834</v>
      </c>
      <c r="C155">
        <f t="shared" ca="1" si="4"/>
        <v>8</v>
      </c>
      <c r="D155">
        <f t="shared" ca="1" si="5"/>
        <v>3</v>
      </c>
      <c r="E155">
        <v>1</v>
      </c>
      <c r="F155" s="10">
        <f ca="1">Table2[[#This Row],[Quantity]]*(INDEX(Models!G:G,MATCH(Table2[[#This Row],[ModelID]],Models!A:A,0)))</f>
        <v>22000</v>
      </c>
      <c r="G155" s="10">
        <f ca="1">Table2[[#This Row],[Quantity]]*(INDEX(Models!H:H,MATCH(Table2[[#This Row],[ModelID]],Models!A:A,0)))</f>
        <v>4400</v>
      </c>
      <c r="H155" t="str">
        <f ca="1">VLOOKUP(Table2[[#This Row],[DealerID]], Dealers!A:D, 4,FALSE)</f>
        <v xml:space="preserve"> Philippines  </v>
      </c>
      <c r="I155" t="str">
        <f ca="1">VLOOKUP(Table2[[#This Row],[ModelID]],Models!A:C,3,FALSE)</f>
        <v xml:space="preserve"> Civic           </v>
      </c>
      <c r="J155" s="5" t="str">
        <f ca="1">VLOOKUP(Table2[[#This Row],[ModelID]],Models!A:C,2,FALSE)</f>
        <v xml:space="preserve"> Honda      </v>
      </c>
      <c r="K155" s="5" t="str">
        <f ca="1">VLOOKUP(Table2[[#This Row],[DealerID]], Dealers!A:D, 3,FALSE)</f>
        <v xml:space="preserve"> Bacolod City   </v>
      </c>
      <c r="L155" s="5" t="str">
        <f ca="1">VLOOKUP(Table2[[#This Row],[DealerID]], Dealers!A:D, 2,FALSE)</f>
        <v xml:space="preserve"> Bacolod Autos    </v>
      </c>
    </row>
    <row r="156" spans="1:12" x14ac:dyDescent="0.25">
      <c r="A156">
        <v>155</v>
      </c>
      <c r="B156" s="1">
        <v>44835</v>
      </c>
      <c r="C156">
        <f t="shared" ca="1" si="4"/>
        <v>8</v>
      </c>
      <c r="D156">
        <f t="shared" ca="1" si="5"/>
        <v>2</v>
      </c>
      <c r="E156">
        <v>2</v>
      </c>
      <c r="F156" s="10">
        <f ca="1">Table2[[#This Row],[Quantity]]*(INDEX(Models!G:G,MATCH(Table2[[#This Row],[ModelID]],Models!A:A,0)))</f>
        <v>40000</v>
      </c>
      <c r="G156" s="10">
        <f ca="1">Table2[[#This Row],[Quantity]]*(INDEX(Models!H:H,MATCH(Table2[[#This Row],[ModelID]],Models!A:A,0)))</f>
        <v>4000</v>
      </c>
      <c r="H156" t="str">
        <f ca="1">VLOOKUP(Table2[[#This Row],[DealerID]], Dealers!A:D, 4,FALSE)</f>
        <v xml:space="preserve"> Philippines  </v>
      </c>
      <c r="I156" t="str">
        <f ca="1">VLOOKUP(Table2[[#This Row],[ModelID]],Models!A:C,3,FALSE)</f>
        <v xml:space="preserve"> Corolla Altis   </v>
      </c>
      <c r="J156" s="5" t="str">
        <f ca="1">VLOOKUP(Table2[[#This Row],[ModelID]],Models!A:C,2,FALSE)</f>
        <v xml:space="preserve"> Toyota     </v>
      </c>
      <c r="K156" s="5" t="str">
        <f ca="1">VLOOKUP(Table2[[#This Row],[DealerID]], Dealers!A:D, 3,FALSE)</f>
        <v xml:space="preserve"> Bacolod City   </v>
      </c>
      <c r="L156" s="5" t="str">
        <f ca="1">VLOOKUP(Table2[[#This Row],[DealerID]], Dealers!A:D, 2,FALSE)</f>
        <v xml:space="preserve"> Bacolod Autos    </v>
      </c>
    </row>
    <row r="157" spans="1:12" x14ac:dyDescent="0.25">
      <c r="A157">
        <v>156</v>
      </c>
      <c r="B157" s="1">
        <v>44838</v>
      </c>
      <c r="C157">
        <f t="shared" ca="1" si="4"/>
        <v>5</v>
      </c>
      <c r="D157">
        <f t="shared" ca="1" si="5"/>
        <v>10</v>
      </c>
      <c r="E157">
        <v>1</v>
      </c>
      <c r="F157" s="10">
        <f ca="1">Table2[[#This Row],[Quantity]]*(INDEX(Models!G:G,MATCH(Table2[[#This Row],[ModelID]],Models!A:A,0)))</f>
        <v>32000</v>
      </c>
      <c r="G157" s="10">
        <f ca="1">Table2[[#This Row],[Quantity]]*(INDEX(Models!H:H,MATCH(Table2[[#This Row],[ModelID]],Models!A:A,0)))</f>
        <v>3200</v>
      </c>
      <c r="H157" t="str">
        <f ca="1">VLOOKUP(Table2[[#This Row],[DealerID]], Dealers!A:D, 4,FALSE)</f>
        <v xml:space="preserve"> Philippines  </v>
      </c>
      <c r="I157" t="str">
        <f ca="1">VLOOKUP(Table2[[#This Row],[ModelID]],Models!A:C,3,FALSE)</f>
        <v xml:space="preserve"> Outlander       </v>
      </c>
      <c r="J157" s="5" t="str">
        <f ca="1">VLOOKUP(Table2[[#This Row],[ModelID]],Models!A:C,2,FALSE)</f>
        <v xml:space="preserve"> Mitsubishi </v>
      </c>
      <c r="K157" s="5" t="str">
        <f ca="1">VLOOKUP(Table2[[#This Row],[DealerID]], Dealers!A:D, 3,FALSE)</f>
        <v xml:space="preserve"> Cebu City      </v>
      </c>
      <c r="L157" s="5" t="str">
        <f ca="1">VLOOKUP(Table2[[#This Row],[DealerID]], Dealers!A:D, 2,FALSE)</f>
        <v xml:space="preserve"> Cebu Cars        </v>
      </c>
    </row>
    <row r="158" spans="1:12" x14ac:dyDescent="0.25">
      <c r="A158">
        <v>157</v>
      </c>
      <c r="B158" s="1">
        <v>44839</v>
      </c>
      <c r="C158">
        <f t="shared" ca="1" si="4"/>
        <v>2</v>
      </c>
      <c r="D158">
        <f t="shared" ca="1" si="5"/>
        <v>7</v>
      </c>
      <c r="E158">
        <v>1</v>
      </c>
      <c r="F158" s="10">
        <f ca="1">Table2[[#This Row],[Quantity]]*(INDEX(Models!G:G,MATCH(Table2[[#This Row],[ModelID]],Models!A:A,0)))</f>
        <v>14000</v>
      </c>
      <c r="G158" s="10">
        <f ca="1">Table2[[#This Row],[Quantity]]*(INDEX(Models!H:H,MATCH(Table2[[#This Row],[ModelID]],Models!A:A,0)))</f>
        <v>1400</v>
      </c>
      <c r="H158" t="str">
        <f ca="1">VLOOKUP(Table2[[#This Row],[DealerID]], Dealers!A:D, 4,FALSE)</f>
        <v xml:space="preserve"> Malaysia     </v>
      </c>
      <c r="I158" t="str">
        <f ca="1">VLOOKUP(Table2[[#This Row],[ModelID]],Models!A:C,3,FALSE)</f>
        <v xml:space="preserve"> Almera          </v>
      </c>
      <c r="J158" s="5" t="str">
        <f ca="1">VLOOKUP(Table2[[#This Row],[ModelID]],Models!A:C,2,FALSE)</f>
        <v xml:space="preserve"> Nissan     </v>
      </c>
      <c r="K158" s="5" t="str">
        <f ca="1">VLOOKUP(Table2[[#This Row],[DealerID]], Dealers!A:D, 3,FALSE)</f>
        <v xml:space="preserve"> George Town     </v>
      </c>
      <c r="L158" s="5" t="str">
        <f ca="1">VLOOKUP(Table2[[#This Row],[DealerID]], Dealers!A:D, 2,FALSE)</f>
        <v xml:space="preserve"> XYZ Cars         </v>
      </c>
    </row>
    <row r="159" spans="1:12" x14ac:dyDescent="0.25">
      <c r="A159">
        <v>158</v>
      </c>
      <c r="B159" s="1">
        <v>44840</v>
      </c>
      <c r="C159">
        <f t="shared" ca="1" si="4"/>
        <v>5</v>
      </c>
      <c r="D159">
        <f t="shared" ca="1" si="5"/>
        <v>8</v>
      </c>
      <c r="E159">
        <v>3</v>
      </c>
      <c r="F159" s="10">
        <f ca="1">Table2[[#This Row],[Quantity]]*(INDEX(Models!G:G,MATCH(Table2[[#This Row],[ModelID]],Models!A:A,0)))</f>
        <v>78000</v>
      </c>
      <c r="G159" s="10">
        <f ca="1">Table2[[#This Row],[Quantity]]*(INDEX(Models!H:H,MATCH(Table2[[#This Row],[ModelID]],Models!A:A,0)))</f>
        <v>7800</v>
      </c>
      <c r="H159" t="str">
        <f ca="1">VLOOKUP(Table2[[#This Row],[DealerID]], Dealers!A:D, 4,FALSE)</f>
        <v xml:space="preserve"> Philippines  </v>
      </c>
      <c r="I159" t="str">
        <f ca="1">VLOOKUP(Table2[[#This Row],[ModelID]],Models!A:C,3,FALSE)</f>
        <v xml:space="preserve"> X-Trail         </v>
      </c>
      <c r="J159" s="5" t="str">
        <f ca="1">VLOOKUP(Table2[[#This Row],[ModelID]],Models!A:C,2,FALSE)</f>
        <v xml:space="preserve"> Nissan     </v>
      </c>
      <c r="K159" s="5" t="str">
        <f ca="1">VLOOKUP(Table2[[#This Row],[DealerID]], Dealers!A:D, 3,FALSE)</f>
        <v xml:space="preserve"> Cebu City      </v>
      </c>
      <c r="L159" s="5" t="str">
        <f ca="1">VLOOKUP(Table2[[#This Row],[DealerID]], Dealers!A:D, 2,FALSE)</f>
        <v xml:space="preserve"> Cebu Cars        </v>
      </c>
    </row>
    <row r="160" spans="1:12" x14ac:dyDescent="0.25">
      <c r="A160">
        <v>159</v>
      </c>
      <c r="B160" s="1">
        <v>44841</v>
      </c>
      <c r="C160">
        <f t="shared" ca="1" si="4"/>
        <v>1</v>
      </c>
      <c r="D160">
        <f t="shared" ca="1" si="5"/>
        <v>12</v>
      </c>
      <c r="E160">
        <v>1</v>
      </c>
      <c r="F160" s="10">
        <f ca="1">Table2[[#This Row],[Quantity]]*(INDEX(Models!G:G,MATCH(Table2[[#This Row],[ModelID]],Models!A:A,0)))</f>
        <v>34000</v>
      </c>
      <c r="G160" s="10">
        <f ca="1">Table2[[#This Row],[Quantity]]*(INDEX(Models!H:H,MATCH(Table2[[#This Row],[ModelID]],Models!A:A,0)))</f>
        <v>3400</v>
      </c>
      <c r="H160" t="str">
        <f ca="1">VLOOKUP(Table2[[#This Row],[DealerID]], Dealers!A:D, 4,FALSE)</f>
        <v xml:space="preserve"> Malaysia     </v>
      </c>
      <c r="I160" t="str">
        <f ca="1">VLOOKUP(Table2[[#This Row],[ModelID]],Models!A:C,3,FALSE)</f>
        <v xml:space="preserve"> Santa Fe        </v>
      </c>
      <c r="J160" s="5" t="str">
        <f ca="1">VLOOKUP(Table2[[#This Row],[ModelID]],Models!A:C,2,FALSE)</f>
        <v xml:space="preserve"> Hyundai    </v>
      </c>
      <c r="K160" s="5" t="str">
        <f ca="1">VLOOKUP(Table2[[#This Row],[DealerID]], Dealers!A:D, 3,FALSE)</f>
        <v xml:space="preserve"> Kuala Lumpur   </v>
      </c>
      <c r="L160" s="5" t="str">
        <f ca="1">VLOOKUP(Table2[[#This Row],[DealerID]], Dealers!A:D, 2,FALSE)</f>
        <v xml:space="preserve"> ABC Motors       </v>
      </c>
    </row>
    <row r="161" spans="1:12" x14ac:dyDescent="0.25">
      <c r="A161">
        <v>160</v>
      </c>
      <c r="B161" s="1">
        <v>44842</v>
      </c>
      <c r="C161">
        <f t="shared" ca="1" si="4"/>
        <v>9</v>
      </c>
      <c r="D161">
        <f t="shared" ca="1" si="5"/>
        <v>15</v>
      </c>
      <c r="E161">
        <v>1</v>
      </c>
      <c r="F161" s="10">
        <f ca="1">Table2[[#This Row],[Quantity]]*(INDEX(Models!G:G,MATCH(Table2[[#This Row],[ModelID]],Models!A:A,0)))</f>
        <v>24000</v>
      </c>
      <c r="G161" s="10">
        <f ca="1">Table2[[#This Row],[Quantity]]*(INDEX(Models!H:H,MATCH(Table2[[#This Row],[ModelID]],Models!A:A,0)))</f>
        <v>2400</v>
      </c>
      <c r="H161" t="str">
        <f ca="1">VLOOKUP(Table2[[#This Row],[DealerID]], Dealers!A:D, 4,FALSE)</f>
        <v xml:space="preserve"> Philippines  </v>
      </c>
      <c r="I161" t="str">
        <f ca="1">VLOOKUP(Table2[[#This Row],[ModelID]],Models!A:C,3,FALSE)</f>
        <v xml:space="preserve"> Mazda3          </v>
      </c>
      <c r="J161" s="5" t="str">
        <f ca="1">VLOOKUP(Table2[[#This Row],[ModelID]],Models!A:C,2,FALSE)</f>
        <v xml:space="preserve"> Mazda      </v>
      </c>
      <c r="K161" s="5" t="str">
        <f ca="1">VLOOKUP(Table2[[#This Row],[DealerID]], Dealers!A:D, 3,FALSE)</f>
        <v xml:space="preserve"> Iloilo City    </v>
      </c>
      <c r="L161" s="5" t="str">
        <f ca="1">VLOOKUP(Table2[[#This Row],[DealerID]], Dealers!A:D, 2,FALSE)</f>
        <v xml:space="preserve"> Iloilo Motors    </v>
      </c>
    </row>
    <row r="162" spans="1:12" x14ac:dyDescent="0.25">
      <c r="A162">
        <v>161</v>
      </c>
      <c r="B162" s="1">
        <v>44845</v>
      </c>
      <c r="C162">
        <f t="shared" ca="1" si="4"/>
        <v>7</v>
      </c>
      <c r="D162">
        <f t="shared" ca="1" si="5"/>
        <v>5</v>
      </c>
      <c r="E162">
        <v>2</v>
      </c>
      <c r="F162" s="10">
        <f ca="1">Table2[[#This Row],[Quantity]]*(INDEX(Models!G:G,MATCH(Table2[[#This Row],[ModelID]],Models!A:A,0)))</f>
        <v>50000</v>
      </c>
      <c r="G162" s="10">
        <f ca="1">Table2[[#This Row],[Quantity]]*(INDEX(Models!H:H,MATCH(Table2[[#This Row],[ModelID]],Models!A:A,0)))</f>
        <v>5000</v>
      </c>
      <c r="H162" t="str">
        <f ca="1">VLOOKUP(Table2[[#This Row],[DealerID]], Dealers!A:D, 4,FALSE)</f>
        <v xml:space="preserve"> Philippines  </v>
      </c>
      <c r="I162" t="str">
        <f ca="1">VLOOKUP(Table2[[#This Row],[ModelID]],Models!A:C,3,FALSE)</f>
        <v xml:space="preserve"> Ranger          </v>
      </c>
      <c r="J162" s="5" t="str">
        <f ca="1">VLOOKUP(Table2[[#This Row],[ModelID]],Models!A:C,2,FALSE)</f>
        <v xml:space="preserve"> Ford       </v>
      </c>
      <c r="K162" s="5" t="str">
        <f ca="1">VLOOKUP(Table2[[#This Row],[DealerID]], Dealers!A:D, 3,FALSE)</f>
        <v xml:space="preserve"> Quezon City    </v>
      </c>
      <c r="L162" s="5" t="str">
        <f ca="1">VLOOKUP(Table2[[#This Row],[DealerID]], Dealers!A:D, 2,FALSE)</f>
        <v xml:space="preserve"> Quezon Vehicles  </v>
      </c>
    </row>
    <row r="163" spans="1:12" x14ac:dyDescent="0.25">
      <c r="A163">
        <v>162</v>
      </c>
      <c r="B163" s="1">
        <v>44846</v>
      </c>
      <c r="C163">
        <f t="shared" ca="1" si="4"/>
        <v>8</v>
      </c>
      <c r="D163">
        <f t="shared" ca="1" si="5"/>
        <v>7</v>
      </c>
      <c r="E163">
        <v>1</v>
      </c>
      <c r="F163" s="10">
        <f ca="1">Table2[[#This Row],[Quantity]]*(INDEX(Models!G:G,MATCH(Table2[[#This Row],[ModelID]],Models!A:A,0)))</f>
        <v>14000</v>
      </c>
      <c r="G163" s="10">
        <f ca="1">Table2[[#This Row],[Quantity]]*(INDEX(Models!H:H,MATCH(Table2[[#This Row],[ModelID]],Models!A:A,0)))</f>
        <v>1400</v>
      </c>
      <c r="H163" t="str">
        <f ca="1">VLOOKUP(Table2[[#This Row],[DealerID]], Dealers!A:D, 4,FALSE)</f>
        <v xml:space="preserve"> Philippines  </v>
      </c>
      <c r="I163" t="str">
        <f ca="1">VLOOKUP(Table2[[#This Row],[ModelID]],Models!A:C,3,FALSE)</f>
        <v xml:space="preserve"> Almera          </v>
      </c>
      <c r="J163" s="5" t="str">
        <f ca="1">VLOOKUP(Table2[[#This Row],[ModelID]],Models!A:C,2,FALSE)</f>
        <v xml:space="preserve"> Nissan     </v>
      </c>
      <c r="K163" s="5" t="str">
        <f ca="1">VLOOKUP(Table2[[#This Row],[DealerID]], Dealers!A:D, 3,FALSE)</f>
        <v xml:space="preserve"> Bacolod City   </v>
      </c>
      <c r="L163" s="5" t="str">
        <f ca="1">VLOOKUP(Table2[[#This Row],[DealerID]], Dealers!A:D, 2,FALSE)</f>
        <v xml:space="preserve"> Bacolod Autos    </v>
      </c>
    </row>
    <row r="164" spans="1:12" x14ac:dyDescent="0.25">
      <c r="A164">
        <v>163</v>
      </c>
      <c r="B164" s="1">
        <v>44847</v>
      </c>
      <c r="C164">
        <f t="shared" ca="1" si="4"/>
        <v>3</v>
      </c>
      <c r="D164">
        <f t="shared" ca="1" si="5"/>
        <v>12</v>
      </c>
      <c r="E164">
        <v>3</v>
      </c>
      <c r="F164" s="10">
        <f ca="1">Table2[[#This Row],[Quantity]]*(INDEX(Models!G:G,MATCH(Table2[[#This Row],[ModelID]],Models!A:A,0)))</f>
        <v>102000</v>
      </c>
      <c r="G164" s="10">
        <f ca="1">Table2[[#This Row],[Quantity]]*(INDEX(Models!H:H,MATCH(Table2[[#This Row],[ModelID]],Models!A:A,0)))</f>
        <v>10200</v>
      </c>
      <c r="H164" t="str">
        <f ca="1">VLOOKUP(Table2[[#This Row],[DealerID]], Dealers!A:D, 4,FALSE)</f>
        <v xml:space="preserve"> Singapore    </v>
      </c>
      <c r="I164" t="str">
        <f ca="1">VLOOKUP(Table2[[#This Row],[ModelID]],Models!A:C,3,FALSE)</f>
        <v xml:space="preserve"> Santa Fe        </v>
      </c>
      <c r="J164" s="5" t="str">
        <f ca="1">VLOOKUP(Table2[[#This Row],[ModelID]],Models!A:C,2,FALSE)</f>
        <v xml:space="preserve"> Hyundai    </v>
      </c>
      <c r="K164" s="5" t="str">
        <f ca="1">VLOOKUP(Table2[[#This Row],[DealerID]], Dealers!A:D, 3,FALSE)</f>
        <v xml:space="preserve"> Singapore      </v>
      </c>
      <c r="L164" s="5" t="str">
        <f ca="1">VLOOKUP(Table2[[#This Row],[DealerID]], Dealers!A:D, 2,FALSE)</f>
        <v xml:space="preserve"> Singapore Autos  </v>
      </c>
    </row>
    <row r="165" spans="1:12" x14ac:dyDescent="0.25">
      <c r="A165">
        <v>164</v>
      </c>
      <c r="B165" s="1">
        <v>44848</v>
      </c>
      <c r="C165">
        <f t="shared" ca="1" si="4"/>
        <v>4</v>
      </c>
      <c r="D165">
        <f t="shared" ca="1" si="5"/>
        <v>7</v>
      </c>
      <c r="E165">
        <v>1</v>
      </c>
      <c r="F165" s="10">
        <f ca="1">Table2[[#This Row],[Quantity]]*(INDEX(Models!G:G,MATCH(Table2[[#This Row],[ModelID]],Models!A:A,0)))</f>
        <v>14000</v>
      </c>
      <c r="G165" s="10">
        <f ca="1">Table2[[#This Row],[Quantity]]*(INDEX(Models!H:H,MATCH(Table2[[#This Row],[ModelID]],Models!A:A,0)))</f>
        <v>1400</v>
      </c>
      <c r="H165" t="str">
        <f ca="1">VLOOKUP(Table2[[#This Row],[DealerID]], Dealers!A:D, 4,FALSE)</f>
        <v xml:space="preserve"> Philippines  </v>
      </c>
      <c r="I165" t="str">
        <f ca="1">VLOOKUP(Table2[[#This Row],[ModelID]],Models!A:C,3,FALSE)</f>
        <v xml:space="preserve"> Almera          </v>
      </c>
      <c r="J165" s="5" t="str">
        <f ca="1">VLOOKUP(Table2[[#This Row],[ModelID]],Models!A:C,2,FALSE)</f>
        <v xml:space="preserve"> Nissan     </v>
      </c>
      <c r="K165" s="5" t="str">
        <f ca="1">VLOOKUP(Table2[[#This Row],[DealerID]], Dealers!A:D, 3,FALSE)</f>
        <v xml:space="preserve"> Manila         </v>
      </c>
      <c r="L165" s="5" t="str">
        <f ca="1">VLOOKUP(Table2[[#This Row],[DealerID]], Dealers!A:D, 2,FALSE)</f>
        <v xml:space="preserve"> Manila Motors    </v>
      </c>
    </row>
    <row r="166" spans="1:12" x14ac:dyDescent="0.25">
      <c r="A166">
        <v>165</v>
      </c>
      <c r="B166" s="1">
        <v>44849</v>
      </c>
      <c r="C166">
        <f t="shared" ca="1" si="4"/>
        <v>5</v>
      </c>
      <c r="D166">
        <f t="shared" ca="1" si="5"/>
        <v>14</v>
      </c>
      <c r="E166">
        <v>2</v>
      </c>
      <c r="F166" s="10">
        <f ca="1">Table2[[#This Row],[Quantity]]*(INDEX(Models!G:G,MATCH(Table2[[#This Row],[ModelID]],Models!A:A,0)))</f>
        <v>50000</v>
      </c>
      <c r="G166" s="10">
        <f ca="1">Table2[[#This Row],[Quantity]]*(INDEX(Models!H:H,MATCH(Table2[[#This Row],[ModelID]],Models!A:A,0)))</f>
        <v>10000</v>
      </c>
      <c r="H166" t="str">
        <f ca="1">VLOOKUP(Table2[[#This Row],[DealerID]], Dealers!A:D, 4,FALSE)</f>
        <v xml:space="preserve"> Philippines  </v>
      </c>
      <c r="I166" t="str">
        <f ca="1">VLOOKUP(Table2[[#This Row],[ModelID]],Models!A:C,3,FALSE)</f>
        <v xml:space="preserve"> X70             </v>
      </c>
      <c r="J166" s="5" t="str">
        <f ca="1">VLOOKUP(Table2[[#This Row],[ModelID]],Models!A:C,2,FALSE)</f>
        <v xml:space="preserve"> Proton     </v>
      </c>
      <c r="K166" s="5" t="str">
        <f ca="1">VLOOKUP(Table2[[#This Row],[DealerID]], Dealers!A:D, 3,FALSE)</f>
        <v xml:space="preserve"> Cebu City      </v>
      </c>
      <c r="L166" s="5" t="str">
        <f ca="1">VLOOKUP(Table2[[#This Row],[DealerID]], Dealers!A:D, 2,FALSE)</f>
        <v xml:space="preserve"> Cebu Cars        </v>
      </c>
    </row>
    <row r="167" spans="1:12" x14ac:dyDescent="0.25">
      <c r="A167">
        <v>166</v>
      </c>
      <c r="B167" s="1">
        <v>44852</v>
      </c>
      <c r="C167">
        <f t="shared" ca="1" si="4"/>
        <v>3</v>
      </c>
      <c r="D167">
        <f t="shared" ca="1" si="5"/>
        <v>10</v>
      </c>
      <c r="E167">
        <v>1</v>
      </c>
      <c r="F167" s="10">
        <f ca="1">Table2[[#This Row],[Quantity]]*(INDEX(Models!G:G,MATCH(Table2[[#This Row],[ModelID]],Models!A:A,0)))</f>
        <v>32000</v>
      </c>
      <c r="G167" s="10">
        <f ca="1">Table2[[#This Row],[Quantity]]*(INDEX(Models!H:H,MATCH(Table2[[#This Row],[ModelID]],Models!A:A,0)))</f>
        <v>3200</v>
      </c>
      <c r="H167" t="str">
        <f ca="1">VLOOKUP(Table2[[#This Row],[DealerID]], Dealers!A:D, 4,FALSE)</f>
        <v xml:space="preserve"> Singapore    </v>
      </c>
      <c r="I167" t="str">
        <f ca="1">VLOOKUP(Table2[[#This Row],[ModelID]],Models!A:C,3,FALSE)</f>
        <v xml:space="preserve"> Outlander       </v>
      </c>
      <c r="J167" s="5" t="str">
        <f ca="1">VLOOKUP(Table2[[#This Row],[ModelID]],Models!A:C,2,FALSE)</f>
        <v xml:space="preserve"> Mitsubishi </v>
      </c>
      <c r="K167" s="5" t="str">
        <f ca="1">VLOOKUP(Table2[[#This Row],[DealerID]], Dealers!A:D, 3,FALSE)</f>
        <v xml:space="preserve"> Singapore      </v>
      </c>
      <c r="L167" s="5" t="str">
        <f ca="1">VLOOKUP(Table2[[#This Row],[DealerID]], Dealers!A:D, 2,FALSE)</f>
        <v xml:space="preserve"> Singapore Autos  </v>
      </c>
    </row>
    <row r="168" spans="1:12" x14ac:dyDescent="0.25">
      <c r="A168">
        <v>167</v>
      </c>
      <c r="B168" s="1">
        <v>44853</v>
      </c>
      <c r="C168">
        <f t="shared" ca="1" si="4"/>
        <v>6</v>
      </c>
      <c r="D168">
        <f t="shared" ca="1" si="5"/>
        <v>2</v>
      </c>
      <c r="E168">
        <v>1</v>
      </c>
      <c r="F168" s="10">
        <f ca="1">Table2[[#This Row],[Quantity]]*(INDEX(Models!G:G,MATCH(Table2[[#This Row],[ModelID]],Models!A:A,0)))</f>
        <v>20000</v>
      </c>
      <c r="G168" s="10">
        <f ca="1">Table2[[#This Row],[Quantity]]*(INDEX(Models!H:H,MATCH(Table2[[#This Row],[ModelID]],Models!A:A,0)))</f>
        <v>2000</v>
      </c>
      <c r="H168" t="str">
        <f ca="1">VLOOKUP(Table2[[#This Row],[DealerID]], Dealers!A:D, 4,FALSE)</f>
        <v xml:space="preserve"> Philippines  </v>
      </c>
      <c r="I168" t="str">
        <f ca="1">VLOOKUP(Table2[[#This Row],[ModelID]],Models!A:C,3,FALSE)</f>
        <v xml:space="preserve"> Corolla Altis   </v>
      </c>
      <c r="J168" s="5" t="str">
        <f ca="1">VLOOKUP(Table2[[#This Row],[ModelID]],Models!A:C,2,FALSE)</f>
        <v xml:space="preserve"> Toyota     </v>
      </c>
      <c r="K168" s="5" t="str">
        <f ca="1">VLOOKUP(Table2[[#This Row],[DealerID]], Dealers!A:D, 3,FALSE)</f>
        <v xml:space="preserve"> Davao City     </v>
      </c>
      <c r="L168" s="5" t="str">
        <f ca="1">VLOOKUP(Table2[[#This Row],[DealerID]], Dealers!A:D, 2,FALSE)</f>
        <v xml:space="preserve"> Davao Dealers    </v>
      </c>
    </row>
    <row r="169" spans="1:12" x14ac:dyDescent="0.25">
      <c r="A169">
        <v>168</v>
      </c>
      <c r="B169" s="1">
        <v>44854</v>
      </c>
      <c r="C169">
        <f t="shared" ca="1" si="4"/>
        <v>7</v>
      </c>
      <c r="D169">
        <f t="shared" ca="1" si="5"/>
        <v>2</v>
      </c>
      <c r="E169">
        <v>3</v>
      </c>
      <c r="F169" s="10">
        <f ca="1">Table2[[#This Row],[Quantity]]*(INDEX(Models!G:G,MATCH(Table2[[#This Row],[ModelID]],Models!A:A,0)))</f>
        <v>60000</v>
      </c>
      <c r="G169" s="10">
        <f ca="1">Table2[[#This Row],[Quantity]]*(INDEX(Models!H:H,MATCH(Table2[[#This Row],[ModelID]],Models!A:A,0)))</f>
        <v>6000</v>
      </c>
      <c r="H169" t="str">
        <f ca="1">VLOOKUP(Table2[[#This Row],[DealerID]], Dealers!A:D, 4,FALSE)</f>
        <v xml:space="preserve"> Philippines  </v>
      </c>
      <c r="I169" t="str">
        <f ca="1">VLOOKUP(Table2[[#This Row],[ModelID]],Models!A:C,3,FALSE)</f>
        <v xml:space="preserve"> Corolla Altis   </v>
      </c>
      <c r="J169" s="5" t="str">
        <f ca="1">VLOOKUP(Table2[[#This Row],[ModelID]],Models!A:C,2,FALSE)</f>
        <v xml:space="preserve"> Toyota     </v>
      </c>
      <c r="K169" s="5" t="str">
        <f ca="1">VLOOKUP(Table2[[#This Row],[DealerID]], Dealers!A:D, 3,FALSE)</f>
        <v xml:space="preserve"> Quezon City    </v>
      </c>
      <c r="L169" s="5" t="str">
        <f ca="1">VLOOKUP(Table2[[#This Row],[DealerID]], Dealers!A:D, 2,FALSE)</f>
        <v xml:space="preserve"> Quezon Vehicles  </v>
      </c>
    </row>
    <row r="170" spans="1:12" x14ac:dyDescent="0.25">
      <c r="A170">
        <v>169</v>
      </c>
      <c r="B170" s="1">
        <v>44855</v>
      </c>
      <c r="C170">
        <f t="shared" ca="1" si="4"/>
        <v>1</v>
      </c>
      <c r="D170">
        <f t="shared" ca="1" si="5"/>
        <v>11</v>
      </c>
      <c r="E170">
        <v>1</v>
      </c>
      <c r="F170" s="10">
        <f ca="1">Table2[[#This Row],[Quantity]]*(INDEX(Models!G:G,MATCH(Table2[[#This Row],[ModelID]],Models!A:A,0)))</f>
        <v>16000</v>
      </c>
      <c r="G170" s="10">
        <f ca="1">Table2[[#This Row],[Quantity]]*(INDEX(Models!H:H,MATCH(Table2[[#This Row],[ModelID]],Models!A:A,0)))</f>
        <v>3200</v>
      </c>
      <c r="H170" t="str">
        <f ca="1">VLOOKUP(Table2[[#This Row],[DealerID]], Dealers!A:D, 4,FALSE)</f>
        <v xml:space="preserve"> Malaysia     </v>
      </c>
      <c r="I170" t="str">
        <f ca="1">VLOOKUP(Table2[[#This Row],[ModelID]],Models!A:C,3,FALSE)</f>
        <v xml:space="preserve"> Accent          </v>
      </c>
      <c r="J170" s="5" t="str">
        <f ca="1">VLOOKUP(Table2[[#This Row],[ModelID]],Models!A:C,2,FALSE)</f>
        <v xml:space="preserve"> Hyundai    </v>
      </c>
      <c r="K170" s="5" t="str">
        <f ca="1">VLOOKUP(Table2[[#This Row],[DealerID]], Dealers!A:D, 3,FALSE)</f>
        <v xml:space="preserve"> Kuala Lumpur   </v>
      </c>
      <c r="L170" s="5" t="str">
        <f ca="1">VLOOKUP(Table2[[#This Row],[DealerID]], Dealers!A:D, 2,FALSE)</f>
        <v xml:space="preserve"> ABC Motors       </v>
      </c>
    </row>
    <row r="171" spans="1:12" x14ac:dyDescent="0.25">
      <c r="A171">
        <v>170</v>
      </c>
      <c r="B171" s="1">
        <v>44856</v>
      </c>
      <c r="C171">
        <f t="shared" ca="1" si="4"/>
        <v>4</v>
      </c>
      <c r="D171">
        <f t="shared" ca="1" si="5"/>
        <v>7</v>
      </c>
      <c r="E171">
        <v>1</v>
      </c>
      <c r="F171" s="10">
        <f ca="1">Table2[[#This Row],[Quantity]]*(INDEX(Models!G:G,MATCH(Table2[[#This Row],[ModelID]],Models!A:A,0)))</f>
        <v>14000</v>
      </c>
      <c r="G171" s="10">
        <f ca="1">Table2[[#This Row],[Quantity]]*(INDEX(Models!H:H,MATCH(Table2[[#This Row],[ModelID]],Models!A:A,0)))</f>
        <v>1400</v>
      </c>
      <c r="H171" t="str">
        <f ca="1">VLOOKUP(Table2[[#This Row],[DealerID]], Dealers!A:D, 4,FALSE)</f>
        <v xml:space="preserve"> Philippines  </v>
      </c>
      <c r="I171" t="str">
        <f ca="1">VLOOKUP(Table2[[#This Row],[ModelID]],Models!A:C,3,FALSE)</f>
        <v xml:space="preserve"> Almera          </v>
      </c>
      <c r="J171" s="5" t="str">
        <f ca="1">VLOOKUP(Table2[[#This Row],[ModelID]],Models!A:C,2,FALSE)</f>
        <v xml:space="preserve"> Nissan     </v>
      </c>
      <c r="K171" s="5" t="str">
        <f ca="1">VLOOKUP(Table2[[#This Row],[DealerID]], Dealers!A:D, 3,FALSE)</f>
        <v xml:space="preserve"> Manila         </v>
      </c>
      <c r="L171" s="5" t="str">
        <f ca="1">VLOOKUP(Table2[[#This Row],[DealerID]], Dealers!A:D, 2,FALSE)</f>
        <v xml:space="preserve"> Manila Motors    </v>
      </c>
    </row>
    <row r="172" spans="1:12" x14ac:dyDescent="0.25">
      <c r="A172">
        <v>171</v>
      </c>
      <c r="B172" s="1">
        <v>44859</v>
      </c>
      <c r="C172">
        <f t="shared" ca="1" si="4"/>
        <v>7</v>
      </c>
      <c r="D172">
        <f t="shared" ca="1" si="5"/>
        <v>5</v>
      </c>
      <c r="E172">
        <v>2</v>
      </c>
      <c r="F172" s="10">
        <f ca="1">Table2[[#This Row],[Quantity]]*(INDEX(Models!G:G,MATCH(Table2[[#This Row],[ModelID]],Models!A:A,0)))</f>
        <v>50000</v>
      </c>
      <c r="G172" s="10">
        <f ca="1">Table2[[#This Row],[Quantity]]*(INDEX(Models!H:H,MATCH(Table2[[#This Row],[ModelID]],Models!A:A,0)))</f>
        <v>5000</v>
      </c>
      <c r="H172" t="str">
        <f ca="1">VLOOKUP(Table2[[#This Row],[DealerID]], Dealers!A:D, 4,FALSE)</f>
        <v xml:space="preserve"> Philippines  </v>
      </c>
      <c r="I172" t="str">
        <f ca="1">VLOOKUP(Table2[[#This Row],[ModelID]],Models!A:C,3,FALSE)</f>
        <v xml:space="preserve"> Ranger          </v>
      </c>
      <c r="J172" s="5" t="str">
        <f ca="1">VLOOKUP(Table2[[#This Row],[ModelID]],Models!A:C,2,FALSE)</f>
        <v xml:space="preserve"> Ford       </v>
      </c>
      <c r="K172" s="5" t="str">
        <f ca="1">VLOOKUP(Table2[[#This Row],[DealerID]], Dealers!A:D, 3,FALSE)</f>
        <v xml:space="preserve"> Quezon City    </v>
      </c>
      <c r="L172" s="5" t="str">
        <f ca="1">VLOOKUP(Table2[[#This Row],[DealerID]], Dealers!A:D, 2,FALSE)</f>
        <v xml:space="preserve"> Quezon Vehicles  </v>
      </c>
    </row>
    <row r="173" spans="1:12" x14ac:dyDescent="0.25">
      <c r="A173">
        <v>172</v>
      </c>
      <c r="B173" s="1">
        <v>44860</v>
      </c>
      <c r="C173">
        <f t="shared" ca="1" si="4"/>
        <v>5</v>
      </c>
      <c r="D173">
        <f t="shared" ca="1" si="5"/>
        <v>3</v>
      </c>
      <c r="E173">
        <v>1</v>
      </c>
      <c r="F173" s="10">
        <f ca="1">Table2[[#This Row],[Quantity]]*(INDEX(Models!G:G,MATCH(Table2[[#This Row],[ModelID]],Models!A:A,0)))</f>
        <v>22000</v>
      </c>
      <c r="G173" s="10">
        <f ca="1">Table2[[#This Row],[Quantity]]*(INDEX(Models!H:H,MATCH(Table2[[#This Row],[ModelID]],Models!A:A,0)))</f>
        <v>4400</v>
      </c>
      <c r="H173" t="str">
        <f ca="1">VLOOKUP(Table2[[#This Row],[DealerID]], Dealers!A:D, 4,FALSE)</f>
        <v xml:space="preserve"> Philippines  </v>
      </c>
      <c r="I173" t="str">
        <f ca="1">VLOOKUP(Table2[[#This Row],[ModelID]],Models!A:C,3,FALSE)</f>
        <v xml:space="preserve"> Civic           </v>
      </c>
      <c r="J173" s="5" t="str">
        <f ca="1">VLOOKUP(Table2[[#This Row],[ModelID]],Models!A:C,2,FALSE)</f>
        <v xml:space="preserve"> Honda      </v>
      </c>
      <c r="K173" s="5" t="str">
        <f ca="1">VLOOKUP(Table2[[#This Row],[DealerID]], Dealers!A:D, 3,FALSE)</f>
        <v xml:space="preserve"> Cebu City      </v>
      </c>
      <c r="L173" s="5" t="str">
        <f ca="1">VLOOKUP(Table2[[#This Row],[DealerID]], Dealers!A:D, 2,FALSE)</f>
        <v xml:space="preserve"> Cebu Cars        </v>
      </c>
    </row>
    <row r="174" spans="1:12" x14ac:dyDescent="0.25">
      <c r="A174">
        <v>173</v>
      </c>
      <c r="B174" s="1">
        <v>44861</v>
      </c>
      <c r="C174">
        <f t="shared" ca="1" si="4"/>
        <v>7</v>
      </c>
      <c r="D174">
        <f t="shared" ca="1" si="5"/>
        <v>3</v>
      </c>
      <c r="E174">
        <v>3</v>
      </c>
      <c r="F174" s="10">
        <f ca="1">Table2[[#This Row],[Quantity]]*(INDEX(Models!G:G,MATCH(Table2[[#This Row],[ModelID]],Models!A:A,0)))</f>
        <v>66000</v>
      </c>
      <c r="G174" s="10">
        <f ca="1">Table2[[#This Row],[Quantity]]*(INDEX(Models!H:H,MATCH(Table2[[#This Row],[ModelID]],Models!A:A,0)))</f>
        <v>13200</v>
      </c>
      <c r="H174" t="str">
        <f ca="1">VLOOKUP(Table2[[#This Row],[DealerID]], Dealers!A:D, 4,FALSE)</f>
        <v xml:space="preserve"> Philippines  </v>
      </c>
      <c r="I174" t="str">
        <f ca="1">VLOOKUP(Table2[[#This Row],[ModelID]],Models!A:C,3,FALSE)</f>
        <v xml:space="preserve"> Civic           </v>
      </c>
      <c r="J174" s="5" t="str">
        <f ca="1">VLOOKUP(Table2[[#This Row],[ModelID]],Models!A:C,2,FALSE)</f>
        <v xml:space="preserve"> Honda      </v>
      </c>
      <c r="K174" s="5" t="str">
        <f ca="1">VLOOKUP(Table2[[#This Row],[DealerID]], Dealers!A:D, 3,FALSE)</f>
        <v xml:space="preserve"> Quezon City    </v>
      </c>
      <c r="L174" s="5" t="str">
        <f ca="1">VLOOKUP(Table2[[#This Row],[DealerID]], Dealers!A:D, 2,FALSE)</f>
        <v xml:space="preserve"> Quezon Vehicles  </v>
      </c>
    </row>
    <row r="175" spans="1:12" x14ac:dyDescent="0.25">
      <c r="A175">
        <v>174</v>
      </c>
      <c r="B175" s="1">
        <v>44862</v>
      </c>
      <c r="C175">
        <f t="shared" ca="1" si="4"/>
        <v>9</v>
      </c>
      <c r="D175">
        <f t="shared" ca="1" si="5"/>
        <v>12</v>
      </c>
      <c r="E175">
        <v>1</v>
      </c>
      <c r="F175" s="10">
        <f ca="1">Table2[[#This Row],[Quantity]]*(INDEX(Models!G:G,MATCH(Table2[[#This Row],[ModelID]],Models!A:A,0)))</f>
        <v>34000</v>
      </c>
      <c r="G175" s="10">
        <f ca="1">Table2[[#This Row],[Quantity]]*(INDEX(Models!H:H,MATCH(Table2[[#This Row],[ModelID]],Models!A:A,0)))</f>
        <v>3400</v>
      </c>
      <c r="H175" t="str">
        <f ca="1">VLOOKUP(Table2[[#This Row],[DealerID]], Dealers!A:D, 4,FALSE)</f>
        <v xml:space="preserve"> Philippines  </v>
      </c>
      <c r="I175" t="str">
        <f ca="1">VLOOKUP(Table2[[#This Row],[ModelID]],Models!A:C,3,FALSE)</f>
        <v xml:space="preserve"> Santa Fe        </v>
      </c>
      <c r="J175" s="5" t="str">
        <f ca="1">VLOOKUP(Table2[[#This Row],[ModelID]],Models!A:C,2,FALSE)</f>
        <v xml:space="preserve"> Hyundai    </v>
      </c>
      <c r="K175" s="5" t="str">
        <f ca="1">VLOOKUP(Table2[[#This Row],[DealerID]], Dealers!A:D, 3,FALSE)</f>
        <v xml:space="preserve"> Iloilo City    </v>
      </c>
      <c r="L175" s="5" t="str">
        <f ca="1">VLOOKUP(Table2[[#This Row],[DealerID]], Dealers!A:D, 2,FALSE)</f>
        <v xml:space="preserve"> Iloilo Motors    </v>
      </c>
    </row>
    <row r="176" spans="1:12" x14ac:dyDescent="0.25">
      <c r="A176">
        <v>175</v>
      </c>
      <c r="B176" s="1">
        <v>44863</v>
      </c>
      <c r="C176">
        <f t="shared" ca="1" si="4"/>
        <v>1</v>
      </c>
      <c r="D176">
        <f t="shared" ca="1" si="5"/>
        <v>7</v>
      </c>
      <c r="E176">
        <v>2</v>
      </c>
      <c r="F176" s="10">
        <f ca="1">Table2[[#This Row],[Quantity]]*(INDEX(Models!G:G,MATCH(Table2[[#This Row],[ModelID]],Models!A:A,0)))</f>
        <v>28000</v>
      </c>
      <c r="G176" s="10">
        <f ca="1">Table2[[#This Row],[Quantity]]*(INDEX(Models!H:H,MATCH(Table2[[#This Row],[ModelID]],Models!A:A,0)))</f>
        <v>2800</v>
      </c>
      <c r="H176" t="str">
        <f ca="1">VLOOKUP(Table2[[#This Row],[DealerID]], Dealers!A:D, 4,FALSE)</f>
        <v xml:space="preserve"> Malaysia     </v>
      </c>
      <c r="I176" t="str">
        <f ca="1">VLOOKUP(Table2[[#This Row],[ModelID]],Models!A:C,3,FALSE)</f>
        <v xml:space="preserve"> Almera          </v>
      </c>
      <c r="J176" s="5" t="str">
        <f ca="1">VLOOKUP(Table2[[#This Row],[ModelID]],Models!A:C,2,FALSE)</f>
        <v xml:space="preserve"> Nissan     </v>
      </c>
      <c r="K176" s="5" t="str">
        <f ca="1">VLOOKUP(Table2[[#This Row],[DealerID]], Dealers!A:D, 3,FALSE)</f>
        <v xml:space="preserve"> Kuala Lumpur   </v>
      </c>
      <c r="L176" s="5" t="str">
        <f ca="1">VLOOKUP(Table2[[#This Row],[DealerID]], Dealers!A:D, 2,FALSE)</f>
        <v xml:space="preserve"> ABC Motors       </v>
      </c>
    </row>
    <row r="177" spans="1:12" x14ac:dyDescent="0.25">
      <c r="A177">
        <v>176</v>
      </c>
      <c r="B177" s="1">
        <v>44866</v>
      </c>
      <c r="C177">
        <f t="shared" ca="1" si="4"/>
        <v>8</v>
      </c>
      <c r="D177">
        <f t="shared" ca="1" si="5"/>
        <v>7</v>
      </c>
      <c r="E177">
        <v>1</v>
      </c>
      <c r="F177" s="10">
        <f ca="1">Table2[[#This Row],[Quantity]]*(INDEX(Models!G:G,MATCH(Table2[[#This Row],[ModelID]],Models!A:A,0)))</f>
        <v>14000</v>
      </c>
      <c r="G177" s="10">
        <f ca="1">Table2[[#This Row],[Quantity]]*(INDEX(Models!H:H,MATCH(Table2[[#This Row],[ModelID]],Models!A:A,0)))</f>
        <v>1400</v>
      </c>
      <c r="H177" t="str">
        <f ca="1">VLOOKUP(Table2[[#This Row],[DealerID]], Dealers!A:D, 4,FALSE)</f>
        <v xml:space="preserve"> Philippines  </v>
      </c>
      <c r="I177" t="str">
        <f ca="1">VLOOKUP(Table2[[#This Row],[ModelID]],Models!A:C,3,FALSE)</f>
        <v xml:space="preserve"> Almera          </v>
      </c>
      <c r="J177" s="5" t="str">
        <f ca="1">VLOOKUP(Table2[[#This Row],[ModelID]],Models!A:C,2,FALSE)</f>
        <v xml:space="preserve"> Nissan     </v>
      </c>
      <c r="K177" s="5" t="str">
        <f ca="1">VLOOKUP(Table2[[#This Row],[DealerID]], Dealers!A:D, 3,FALSE)</f>
        <v xml:space="preserve"> Bacolod City   </v>
      </c>
      <c r="L177" s="5" t="str">
        <f ca="1">VLOOKUP(Table2[[#This Row],[DealerID]], Dealers!A:D, 2,FALSE)</f>
        <v xml:space="preserve"> Bacolod Autos    </v>
      </c>
    </row>
    <row r="178" spans="1:12" x14ac:dyDescent="0.25">
      <c r="A178">
        <v>177</v>
      </c>
      <c r="B178" s="1">
        <v>44867</v>
      </c>
      <c r="C178">
        <f t="shared" ca="1" si="4"/>
        <v>8</v>
      </c>
      <c r="D178">
        <f t="shared" ca="1" si="5"/>
        <v>2</v>
      </c>
      <c r="E178">
        <v>1</v>
      </c>
      <c r="F178" s="10">
        <f ca="1">Table2[[#This Row],[Quantity]]*(INDEX(Models!G:G,MATCH(Table2[[#This Row],[ModelID]],Models!A:A,0)))</f>
        <v>20000</v>
      </c>
      <c r="G178" s="10">
        <f ca="1">Table2[[#This Row],[Quantity]]*(INDEX(Models!H:H,MATCH(Table2[[#This Row],[ModelID]],Models!A:A,0)))</f>
        <v>2000</v>
      </c>
      <c r="H178" t="str">
        <f ca="1">VLOOKUP(Table2[[#This Row],[DealerID]], Dealers!A:D, 4,FALSE)</f>
        <v xml:space="preserve"> Philippines  </v>
      </c>
      <c r="I178" t="str">
        <f ca="1">VLOOKUP(Table2[[#This Row],[ModelID]],Models!A:C,3,FALSE)</f>
        <v xml:space="preserve"> Corolla Altis   </v>
      </c>
      <c r="J178" s="5" t="str">
        <f ca="1">VLOOKUP(Table2[[#This Row],[ModelID]],Models!A:C,2,FALSE)</f>
        <v xml:space="preserve"> Toyota     </v>
      </c>
      <c r="K178" s="5" t="str">
        <f ca="1">VLOOKUP(Table2[[#This Row],[DealerID]], Dealers!A:D, 3,FALSE)</f>
        <v xml:space="preserve"> Bacolod City   </v>
      </c>
      <c r="L178" s="5" t="str">
        <f ca="1">VLOOKUP(Table2[[#This Row],[DealerID]], Dealers!A:D, 2,FALSE)</f>
        <v xml:space="preserve"> Bacolod Autos    </v>
      </c>
    </row>
    <row r="179" spans="1:12" x14ac:dyDescent="0.25">
      <c r="A179">
        <v>178</v>
      </c>
      <c r="B179" s="1">
        <v>44868</v>
      </c>
      <c r="C179">
        <f t="shared" ca="1" si="4"/>
        <v>3</v>
      </c>
      <c r="D179">
        <f t="shared" ca="1" si="5"/>
        <v>7</v>
      </c>
      <c r="E179">
        <v>3</v>
      </c>
      <c r="F179" s="10">
        <f ca="1">Table2[[#This Row],[Quantity]]*(INDEX(Models!G:G,MATCH(Table2[[#This Row],[ModelID]],Models!A:A,0)))</f>
        <v>42000</v>
      </c>
      <c r="G179" s="10">
        <f ca="1">Table2[[#This Row],[Quantity]]*(INDEX(Models!H:H,MATCH(Table2[[#This Row],[ModelID]],Models!A:A,0)))</f>
        <v>4200</v>
      </c>
      <c r="H179" t="str">
        <f ca="1">VLOOKUP(Table2[[#This Row],[DealerID]], Dealers!A:D, 4,FALSE)</f>
        <v xml:space="preserve"> Singapore    </v>
      </c>
      <c r="I179" t="str">
        <f ca="1">VLOOKUP(Table2[[#This Row],[ModelID]],Models!A:C,3,FALSE)</f>
        <v xml:space="preserve"> Almera          </v>
      </c>
      <c r="J179" s="5" t="str">
        <f ca="1">VLOOKUP(Table2[[#This Row],[ModelID]],Models!A:C,2,FALSE)</f>
        <v xml:space="preserve"> Nissan     </v>
      </c>
      <c r="K179" s="5" t="str">
        <f ca="1">VLOOKUP(Table2[[#This Row],[DealerID]], Dealers!A:D, 3,FALSE)</f>
        <v xml:space="preserve"> Singapore      </v>
      </c>
      <c r="L179" s="5" t="str">
        <f ca="1">VLOOKUP(Table2[[#This Row],[DealerID]], Dealers!A:D, 2,FALSE)</f>
        <v xml:space="preserve"> Singapore Autos  </v>
      </c>
    </row>
    <row r="180" spans="1:12" x14ac:dyDescent="0.25">
      <c r="A180">
        <v>179</v>
      </c>
      <c r="B180" s="1">
        <v>44869</v>
      </c>
      <c r="C180">
        <f t="shared" ca="1" si="4"/>
        <v>6</v>
      </c>
      <c r="D180">
        <f t="shared" ca="1" si="5"/>
        <v>4</v>
      </c>
      <c r="E180">
        <v>1</v>
      </c>
      <c r="F180" s="10">
        <f ca="1">Table2[[#This Row],[Quantity]]*(INDEX(Models!G:G,MATCH(Table2[[#This Row],[ModelID]],Models!A:A,0)))</f>
        <v>28000</v>
      </c>
      <c r="G180" s="10">
        <f ca="1">Table2[[#This Row],[Quantity]]*(INDEX(Models!H:H,MATCH(Table2[[#This Row],[ModelID]],Models!A:A,0)))</f>
        <v>2800</v>
      </c>
      <c r="H180" t="str">
        <f ca="1">VLOOKUP(Table2[[#This Row],[DealerID]], Dealers!A:D, 4,FALSE)</f>
        <v xml:space="preserve"> Philippines  </v>
      </c>
      <c r="I180" t="str">
        <f ca="1">VLOOKUP(Table2[[#This Row],[ModelID]],Models!A:C,3,FALSE)</f>
        <v xml:space="preserve"> CR-V            </v>
      </c>
      <c r="J180" s="5" t="str">
        <f ca="1">VLOOKUP(Table2[[#This Row],[ModelID]],Models!A:C,2,FALSE)</f>
        <v xml:space="preserve"> Honda      </v>
      </c>
      <c r="K180" s="5" t="str">
        <f ca="1">VLOOKUP(Table2[[#This Row],[DealerID]], Dealers!A:D, 3,FALSE)</f>
        <v xml:space="preserve"> Davao City     </v>
      </c>
      <c r="L180" s="5" t="str">
        <f ca="1">VLOOKUP(Table2[[#This Row],[DealerID]], Dealers!A:D, 2,FALSE)</f>
        <v xml:space="preserve"> Davao Dealers    </v>
      </c>
    </row>
    <row r="181" spans="1:12" x14ac:dyDescent="0.25">
      <c r="A181">
        <v>180</v>
      </c>
      <c r="B181" s="1">
        <v>44870</v>
      </c>
      <c r="C181">
        <f t="shared" ca="1" si="4"/>
        <v>9</v>
      </c>
      <c r="D181">
        <f t="shared" ca="1" si="5"/>
        <v>13</v>
      </c>
      <c r="E181">
        <v>1</v>
      </c>
      <c r="F181" s="10">
        <f ca="1">Table2[[#This Row],[Quantity]]*(INDEX(Models!G:G,MATCH(Table2[[#This Row],[ModelID]],Models!A:A,0)))</f>
        <v>12000</v>
      </c>
      <c r="G181" s="10">
        <f ca="1">Table2[[#This Row],[Quantity]]*(INDEX(Models!H:H,MATCH(Table2[[#This Row],[ModelID]],Models!A:A,0)))</f>
        <v>1200</v>
      </c>
      <c r="H181" t="str">
        <f ca="1">VLOOKUP(Table2[[#This Row],[DealerID]], Dealers!A:D, 4,FALSE)</f>
        <v xml:space="preserve"> Philippines  </v>
      </c>
      <c r="I181" t="str">
        <f ca="1">VLOOKUP(Table2[[#This Row],[ModelID]],Models!A:C,3,FALSE)</f>
        <v xml:space="preserve"> Persona         </v>
      </c>
      <c r="J181" s="5" t="str">
        <f ca="1">VLOOKUP(Table2[[#This Row],[ModelID]],Models!A:C,2,FALSE)</f>
        <v xml:space="preserve"> Proton     </v>
      </c>
      <c r="K181" s="5" t="str">
        <f ca="1">VLOOKUP(Table2[[#This Row],[DealerID]], Dealers!A:D, 3,FALSE)</f>
        <v xml:space="preserve"> Iloilo City    </v>
      </c>
      <c r="L181" s="5" t="str">
        <f ca="1">VLOOKUP(Table2[[#This Row],[DealerID]], Dealers!A:D, 2,FALSE)</f>
        <v xml:space="preserve"> Iloilo Motors    </v>
      </c>
    </row>
    <row r="182" spans="1:12" x14ac:dyDescent="0.25">
      <c r="A182">
        <v>181</v>
      </c>
      <c r="B182" s="1">
        <v>44873</v>
      </c>
      <c r="C182">
        <f t="shared" ca="1" si="4"/>
        <v>6</v>
      </c>
      <c r="D182">
        <f t="shared" ca="1" si="5"/>
        <v>7</v>
      </c>
      <c r="E182">
        <v>2</v>
      </c>
      <c r="F182" s="10">
        <f ca="1">Table2[[#This Row],[Quantity]]*(INDEX(Models!G:G,MATCH(Table2[[#This Row],[ModelID]],Models!A:A,0)))</f>
        <v>28000</v>
      </c>
      <c r="G182" s="10">
        <f ca="1">Table2[[#This Row],[Quantity]]*(INDEX(Models!H:H,MATCH(Table2[[#This Row],[ModelID]],Models!A:A,0)))</f>
        <v>2800</v>
      </c>
      <c r="H182" t="str">
        <f ca="1">VLOOKUP(Table2[[#This Row],[DealerID]], Dealers!A:D, 4,FALSE)</f>
        <v xml:space="preserve"> Philippines  </v>
      </c>
      <c r="I182" t="str">
        <f ca="1">VLOOKUP(Table2[[#This Row],[ModelID]],Models!A:C,3,FALSE)</f>
        <v xml:space="preserve"> Almera          </v>
      </c>
      <c r="J182" s="5" t="str">
        <f ca="1">VLOOKUP(Table2[[#This Row],[ModelID]],Models!A:C,2,FALSE)</f>
        <v xml:space="preserve"> Nissan     </v>
      </c>
      <c r="K182" s="5" t="str">
        <f ca="1">VLOOKUP(Table2[[#This Row],[DealerID]], Dealers!A:D, 3,FALSE)</f>
        <v xml:space="preserve"> Davao City     </v>
      </c>
      <c r="L182" s="5" t="str">
        <f ca="1">VLOOKUP(Table2[[#This Row],[DealerID]], Dealers!A:D, 2,FALSE)</f>
        <v xml:space="preserve"> Davao Dealers    </v>
      </c>
    </row>
    <row r="183" spans="1:12" x14ac:dyDescent="0.25">
      <c r="A183">
        <v>182</v>
      </c>
      <c r="B183" s="1">
        <v>44874</v>
      </c>
      <c r="C183">
        <f t="shared" ca="1" si="4"/>
        <v>1</v>
      </c>
      <c r="D183">
        <f t="shared" ca="1" si="5"/>
        <v>5</v>
      </c>
      <c r="E183">
        <v>1</v>
      </c>
      <c r="F183" s="10">
        <f ca="1">Table2[[#This Row],[Quantity]]*(INDEX(Models!G:G,MATCH(Table2[[#This Row],[ModelID]],Models!A:A,0)))</f>
        <v>25000</v>
      </c>
      <c r="G183" s="10">
        <f ca="1">Table2[[#This Row],[Quantity]]*(INDEX(Models!H:H,MATCH(Table2[[#This Row],[ModelID]],Models!A:A,0)))</f>
        <v>2500</v>
      </c>
      <c r="H183" t="str">
        <f ca="1">VLOOKUP(Table2[[#This Row],[DealerID]], Dealers!A:D, 4,FALSE)</f>
        <v xml:space="preserve"> Malaysia     </v>
      </c>
      <c r="I183" t="str">
        <f ca="1">VLOOKUP(Table2[[#This Row],[ModelID]],Models!A:C,3,FALSE)</f>
        <v xml:space="preserve"> Ranger          </v>
      </c>
      <c r="J183" s="5" t="str">
        <f ca="1">VLOOKUP(Table2[[#This Row],[ModelID]],Models!A:C,2,FALSE)</f>
        <v xml:space="preserve"> Ford       </v>
      </c>
      <c r="K183" s="5" t="str">
        <f ca="1">VLOOKUP(Table2[[#This Row],[DealerID]], Dealers!A:D, 3,FALSE)</f>
        <v xml:space="preserve"> Kuala Lumpur   </v>
      </c>
      <c r="L183" s="5" t="str">
        <f ca="1">VLOOKUP(Table2[[#This Row],[DealerID]], Dealers!A:D, 2,FALSE)</f>
        <v xml:space="preserve"> ABC Motors       </v>
      </c>
    </row>
    <row r="184" spans="1:12" x14ac:dyDescent="0.25">
      <c r="A184">
        <v>183</v>
      </c>
      <c r="B184" s="1">
        <v>44875</v>
      </c>
      <c r="C184">
        <f t="shared" ca="1" si="4"/>
        <v>1</v>
      </c>
      <c r="D184">
        <f t="shared" ca="1" si="5"/>
        <v>3</v>
      </c>
      <c r="E184">
        <v>3</v>
      </c>
      <c r="F184" s="10">
        <f ca="1">Table2[[#This Row],[Quantity]]*(INDEX(Models!G:G,MATCH(Table2[[#This Row],[ModelID]],Models!A:A,0)))</f>
        <v>66000</v>
      </c>
      <c r="G184" s="10">
        <f ca="1">Table2[[#This Row],[Quantity]]*(INDEX(Models!H:H,MATCH(Table2[[#This Row],[ModelID]],Models!A:A,0)))</f>
        <v>13200</v>
      </c>
      <c r="H184" t="str">
        <f ca="1">VLOOKUP(Table2[[#This Row],[DealerID]], Dealers!A:D, 4,FALSE)</f>
        <v xml:space="preserve"> Malaysia     </v>
      </c>
      <c r="I184" t="str">
        <f ca="1">VLOOKUP(Table2[[#This Row],[ModelID]],Models!A:C,3,FALSE)</f>
        <v xml:space="preserve"> Civic           </v>
      </c>
      <c r="J184" s="5" t="str">
        <f ca="1">VLOOKUP(Table2[[#This Row],[ModelID]],Models!A:C,2,FALSE)</f>
        <v xml:space="preserve"> Honda      </v>
      </c>
      <c r="K184" s="5" t="str">
        <f ca="1">VLOOKUP(Table2[[#This Row],[DealerID]], Dealers!A:D, 3,FALSE)</f>
        <v xml:space="preserve"> Kuala Lumpur   </v>
      </c>
      <c r="L184" s="5" t="str">
        <f ca="1">VLOOKUP(Table2[[#This Row],[DealerID]], Dealers!A:D, 2,FALSE)</f>
        <v xml:space="preserve"> ABC Motors       </v>
      </c>
    </row>
    <row r="185" spans="1:12" x14ac:dyDescent="0.25">
      <c r="A185">
        <v>184</v>
      </c>
      <c r="B185" s="1">
        <v>44876</v>
      </c>
      <c r="C185">
        <f t="shared" ca="1" si="4"/>
        <v>10</v>
      </c>
      <c r="D185">
        <f t="shared" ca="1" si="5"/>
        <v>10</v>
      </c>
      <c r="E185">
        <v>1</v>
      </c>
      <c r="F185" s="10">
        <f ca="1">Table2[[#This Row],[Quantity]]*(INDEX(Models!G:G,MATCH(Table2[[#This Row],[ModelID]],Models!A:A,0)))</f>
        <v>32000</v>
      </c>
      <c r="G185" s="10">
        <f ca="1">Table2[[#This Row],[Quantity]]*(INDEX(Models!H:H,MATCH(Table2[[#This Row],[ModelID]],Models!A:A,0)))</f>
        <v>3200</v>
      </c>
      <c r="H185" t="str">
        <f ca="1">VLOOKUP(Table2[[#This Row],[DealerID]], Dealers!A:D, 4,FALSE)</f>
        <v xml:space="preserve"> Philippines  </v>
      </c>
      <c r="I185" t="str">
        <f ca="1">VLOOKUP(Table2[[#This Row],[ModelID]],Models!A:C,3,FALSE)</f>
        <v xml:space="preserve"> Outlander       </v>
      </c>
      <c r="J185" s="5" t="str">
        <f ca="1">VLOOKUP(Table2[[#This Row],[ModelID]],Models!A:C,2,FALSE)</f>
        <v xml:space="preserve"> Mitsubishi </v>
      </c>
      <c r="K185" s="5" t="str">
        <f ca="1">VLOOKUP(Table2[[#This Row],[DealerID]], Dealers!A:D, 3,FALSE)</f>
        <v xml:space="preserve"> Zamboanga City </v>
      </c>
      <c r="L185" s="5" t="str">
        <f ca="1">VLOOKUP(Table2[[#This Row],[DealerID]], Dealers!A:D, 2,FALSE)</f>
        <v xml:space="preserve"> Zamboanga Cars   </v>
      </c>
    </row>
    <row r="186" spans="1:12" x14ac:dyDescent="0.25">
      <c r="A186">
        <v>185</v>
      </c>
      <c r="B186" s="1">
        <v>44877</v>
      </c>
      <c r="C186">
        <f t="shared" ca="1" si="4"/>
        <v>9</v>
      </c>
      <c r="D186">
        <f t="shared" ca="1" si="5"/>
        <v>6</v>
      </c>
      <c r="E186">
        <v>2</v>
      </c>
      <c r="F186" s="10">
        <f ca="1">Table2[[#This Row],[Quantity]]*(INDEX(Models!G:G,MATCH(Table2[[#This Row],[ModelID]],Models!A:A,0)))</f>
        <v>60000</v>
      </c>
      <c r="G186" s="10">
        <f ca="1">Table2[[#This Row],[Quantity]]*(INDEX(Models!H:H,MATCH(Table2[[#This Row],[ModelID]],Models!A:A,0)))</f>
        <v>6000</v>
      </c>
      <c r="H186" t="str">
        <f ca="1">VLOOKUP(Table2[[#This Row],[DealerID]], Dealers!A:D, 4,FALSE)</f>
        <v xml:space="preserve"> Philippines  </v>
      </c>
      <c r="I186" t="str">
        <f ca="1">VLOOKUP(Table2[[#This Row],[ModelID]],Models!A:C,3,FALSE)</f>
        <v xml:space="preserve"> Everest         </v>
      </c>
      <c r="J186" s="5" t="str">
        <f ca="1">VLOOKUP(Table2[[#This Row],[ModelID]],Models!A:C,2,FALSE)</f>
        <v xml:space="preserve"> Ford       </v>
      </c>
      <c r="K186" s="5" t="str">
        <f ca="1">VLOOKUP(Table2[[#This Row],[DealerID]], Dealers!A:D, 3,FALSE)</f>
        <v xml:space="preserve"> Iloilo City    </v>
      </c>
      <c r="L186" s="5" t="str">
        <f ca="1">VLOOKUP(Table2[[#This Row],[DealerID]], Dealers!A:D, 2,FALSE)</f>
        <v xml:space="preserve"> Iloilo Motors    </v>
      </c>
    </row>
    <row r="187" spans="1:12" x14ac:dyDescent="0.25">
      <c r="A187">
        <v>186</v>
      </c>
      <c r="B187" s="1">
        <v>44880</v>
      </c>
      <c r="C187">
        <f t="shared" ca="1" si="4"/>
        <v>3</v>
      </c>
      <c r="D187">
        <f t="shared" ca="1" si="5"/>
        <v>3</v>
      </c>
      <c r="E187">
        <v>1</v>
      </c>
      <c r="F187" s="10">
        <f ca="1">Table2[[#This Row],[Quantity]]*(INDEX(Models!G:G,MATCH(Table2[[#This Row],[ModelID]],Models!A:A,0)))</f>
        <v>22000</v>
      </c>
      <c r="G187" s="10">
        <f ca="1">Table2[[#This Row],[Quantity]]*(INDEX(Models!H:H,MATCH(Table2[[#This Row],[ModelID]],Models!A:A,0)))</f>
        <v>4400</v>
      </c>
      <c r="H187" t="str">
        <f ca="1">VLOOKUP(Table2[[#This Row],[DealerID]], Dealers!A:D, 4,FALSE)</f>
        <v xml:space="preserve"> Singapore    </v>
      </c>
      <c r="I187" t="str">
        <f ca="1">VLOOKUP(Table2[[#This Row],[ModelID]],Models!A:C,3,FALSE)</f>
        <v xml:space="preserve"> Civic           </v>
      </c>
      <c r="J187" s="5" t="str">
        <f ca="1">VLOOKUP(Table2[[#This Row],[ModelID]],Models!A:C,2,FALSE)</f>
        <v xml:space="preserve"> Honda      </v>
      </c>
      <c r="K187" s="5" t="str">
        <f ca="1">VLOOKUP(Table2[[#This Row],[DealerID]], Dealers!A:D, 3,FALSE)</f>
        <v xml:space="preserve"> Singapore      </v>
      </c>
      <c r="L187" s="5" t="str">
        <f ca="1">VLOOKUP(Table2[[#This Row],[DealerID]], Dealers!A:D, 2,FALSE)</f>
        <v xml:space="preserve"> Singapore Autos  </v>
      </c>
    </row>
    <row r="188" spans="1:12" x14ac:dyDescent="0.25">
      <c r="A188">
        <v>187</v>
      </c>
      <c r="B188" s="1">
        <v>44881</v>
      </c>
      <c r="C188">
        <f t="shared" ca="1" si="4"/>
        <v>7</v>
      </c>
      <c r="D188">
        <f t="shared" ca="1" si="5"/>
        <v>11</v>
      </c>
      <c r="E188">
        <v>1</v>
      </c>
      <c r="F188" s="10">
        <f ca="1">Table2[[#This Row],[Quantity]]*(INDEX(Models!G:G,MATCH(Table2[[#This Row],[ModelID]],Models!A:A,0)))</f>
        <v>16000</v>
      </c>
      <c r="G188" s="10">
        <f ca="1">Table2[[#This Row],[Quantity]]*(INDEX(Models!H:H,MATCH(Table2[[#This Row],[ModelID]],Models!A:A,0)))</f>
        <v>3200</v>
      </c>
      <c r="H188" t="str">
        <f ca="1">VLOOKUP(Table2[[#This Row],[DealerID]], Dealers!A:D, 4,FALSE)</f>
        <v xml:space="preserve"> Philippines  </v>
      </c>
      <c r="I188" t="str">
        <f ca="1">VLOOKUP(Table2[[#This Row],[ModelID]],Models!A:C,3,FALSE)</f>
        <v xml:space="preserve"> Accent          </v>
      </c>
      <c r="J188" s="5" t="str">
        <f ca="1">VLOOKUP(Table2[[#This Row],[ModelID]],Models!A:C,2,FALSE)</f>
        <v xml:space="preserve"> Hyundai    </v>
      </c>
      <c r="K188" s="5" t="str">
        <f ca="1">VLOOKUP(Table2[[#This Row],[DealerID]], Dealers!A:D, 3,FALSE)</f>
        <v xml:space="preserve"> Quezon City    </v>
      </c>
      <c r="L188" s="5" t="str">
        <f ca="1">VLOOKUP(Table2[[#This Row],[DealerID]], Dealers!A:D, 2,FALSE)</f>
        <v xml:space="preserve"> Quezon Vehicles  </v>
      </c>
    </row>
    <row r="189" spans="1:12" x14ac:dyDescent="0.25">
      <c r="A189">
        <v>188</v>
      </c>
      <c r="B189" s="1">
        <v>44882</v>
      </c>
      <c r="C189">
        <f t="shared" ca="1" si="4"/>
        <v>5</v>
      </c>
      <c r="D189">
        <f t="shared" ca="1" si="5"/>
        <v>13</v>
      </c>
      <c r="E189">
        <v>3</v>
      </c>
      <c r="F189" s="10">
        <f ca="1">Table2[[#This Row],[Quantity]]*(INDEX(Models!G:G,MATCH(Table2[[#This Row],[ModelID]],Models!A:A,0)))</f>
        <v>36000</v>
      </c>
      <c r="G189" s="10">
        <f ca="1">Table2[[#This Row],[Quantity]]*(INDEX(Models!H:H,MATCH(Table2[[#This Row],[ModelID]],Models!A:A,0)))</f>
        <v>3600</v>
      </c>
      <c r="H189" t="str">
        <f ca="1">VLOOKUP(Table2[[#This Row],[DealerID]], Dealers!A:D, 4,FALSE)</f>
        <v xml:space="preserve"> Philippines  </v>
      </c>
      <c r="I189" t="str">
        <f ca="1">VLOOKUP(Table2[[#This Row],[ModelID]],Models!A:C,3,FALSE)</f>
        <v xml:space="preserve"> Persona         </v>
      </c>
      <c r="J189" s="5" t="str">
        <f ca="1">VLOOKUP(Table2[[#This Row],[ModelID]],Models!A:C,2,FALSE)</f>
        <v xml:space="preserve"> Proton     </v>
      </c>
      <c r="K189" s="5" t="str">
        <f ca="1">VLOOKUP(Table2[[#This Row],[DealerID]], Dealers!A:D, 3,FALSE)</f>
        <v xml:space="preserve"> Cebu City      </v>
      </c>
      <c r="L189" s="5" t="str">
        <f ca="1">VLOOKUP(Table2[[#This Row],[DealerID]], Dealers!A:D, 2,FALSE)</f>
        <v xml:space="preserve"> Cebu Cars        </v>
      </c>
    </row>
    <row r="190" spans="1:12" x14ac:dyDescent="0.25">
      <c r="A190">
        <v>189</v>
      </c>
      <c r="B190" s="1">
        <v>44883</v>
      </c>
      <c r="C190">
        <f t="shared" ca="1" si="4"/>
        <v>5</v>
      </c>
      <c r="D190">
        <f t="shared" ca="1" si="5"/>
        <v>5</v>
      </c>
      <c r="E190">
        <v>1</v>
      </c>
      <c r="F190" s="10">
        <f ca="1">Table2[[#This Row],[Quantity]]*(INDEX(Models!G:G,MATCH(Table2[[#This Row],[ModelID]],Models!A:A,0)))</f>
        <v>25000</v>
      </c>
      <c r="G190" s="10">
        <f ca="1">Table2[[#This Row],[Quantity]]*(INDEX(Models!H:H,MATCH(Table2[[#This Row],[ModelID]],Models!A:A,0)))</f>
        <v>2500</v>
      </c>
      <c r="H190" t="str">
        <f ca="1">VLOOKUP(Table2[[#This Row],[DealerID]], Dealers!A:D, 4,FALSE)</f>
        <v xml:space="preserve"> Philippines  </v>
      </c>
      <c r="I190" t="str">
        <f ca="1">VLOOKUP(Table2[[#This Row],[ModelID]],Models!A:C,3,FALSE)</f>
        <v xml:space="preserve"> Ranger          </v>
      </c>
      <c r="J190" s="5" t="str">
        <f ca="1">VLOOKUP(Table2[[#This Row],[ModelID]],Models!A:C,2,FALSE)</f>
        <v xml:space="preserve"> Ford       </v>
      </c>
      <c r="K190" s="5" t="str">
        <f ca="1">VLOOKUP(Table2[[#This Row],[DealerID]], Dealers!A:D, 3,FALSE)</f>
        <v xml:space="preserve"> Cebu City      </v>
      </c>
      <c r="L190" s="5" t="str">
        <f ca="1">VLOOKUP(Table2[[#This Row],[DealerID]], Dealers!A:D, 2,FALSE)</f>
        <v xml:space="preserve"> Cebu Cars        </v>
      </c>
    </row>
    <row r="191" spans="1:12" x14ac:dyDescent="0.25">
      <c r="A191">
        <v>190</v>
      </c>
      <c r="B191" s="1">
        <v>44884</v>
      </c>
      <c r="C191">
        <f t="shared" ca="1" si="4"/>
        <v>7</v>
      </c>
      <c r="D191">
        <f t="shared" ca="1" si="5"/>
        <v>3</v>
      </c>
      <c r="E191">
        <v>1</v>
      </c>
      <c r="F191" s="10">
        <f ca="1">Table2[[#This Row],[Quantity]]*(INDEX(Models!G:G,MATCH(Table2[[#This Row],[ModelID]],Models!A:A,0)))</f>
        <v>22000</v>
      </c>
      <c r="G191" s="10">
        <f ca="1">Table2[[#This Row],[Quantity]]*(INDEX(Models!H:H,MATCH(Table2[[#This Row],[ModelID]],Models!A:A,0)))</f>
        <v>4400</v>
      </c>
      <c r="H191" t="str">
        <f ca="1">VLOOKUP(Table2[[#This Row],[DealerID]], Dealers!A:D, 4,FALSE)</f>
        <v xml:space="preserve"> Philippines  </v>
      </c>
      <c r="I191" t="str">
        <f ca="1">VLOOKUP(Table2[[#This Row],[ModelID]],Models!A:C,3,FALSE)</f>
        <v xml:space="preserve"> Civic           </v>
      </c>
      <c r="J191" s="5" t="str">
        <f ca="1">VLOOKUP(Table2[[#This Row],[ModelID]],Models!A:C,2,FALSE)</f>
        <v xml:space="preserve"> Honda      </v>
      </c>
      <c r="K191" s="5" t="str">
        <f ca="1">VLOOKUP(Table2[[#This Row],[DealerID]], Dealers!A:D, 3,FALSE)</f>
        <v xml:space="preserve"> Quezon City    </v>
      </c>
      <c r="L191" s="5" t="str">
        <f ca="1">VLOOKUP(Table2[[#This Row],[DealerID]], Dealers!A:D, 2,FALSE)</f>
        <v xml:space="preserve"> Quezon Vehicles  </v>
      </c>
    </row>
    <row r="192" spans="1:12" x14ac:dyDescent="0.25">
      <c r="A192">
        <v>191</v>
      </c>
      <c r="B192" s="1">
        <v>44887</v>
      </c>
      <c r="C192">
        <f t="shared" ca="1" si="4"/>
        <v>10</v>
      </c>
      <c r="D192">
        <f t="shared" ca="1" si="5"/>
        <v>4</v>
      </c>
      <c r="E192">
        <v>2</v>
      </c>
      <c r="F192" s="10">
        <f ca="1">Table2[[#This Row],[Quantity]]*(INDEX(Models!G:G,MATCH(Table2[[#This Row],[ModelID]],Models!A:A,0)))</f>
        <v>56000</v>
      </c>
      <c r="G192" s="10">
        <f ca="1">Table2[[#This Row],[Quantity]]*(INDEX(Models!H:H,MATCH(Table2[[#This Row],[ModelID]],Models!A:A,0)))</f>
        <v>5600</v>
      </c>
      <c r="H192" t="str">
        <f ca="1">VLOOKUP(Table2[[#This Row],[DealerID]], Dealers!A:D, 4,FALSE)</f>
        <v xml:space="preserve"> Philippines  </v>
      </c>
      <c r="I192" t="str">
        <f ca="1">VLOOKUP(Table2[[#This Row],[ModelID]],Models!A:C,3,FALSE)</f>
        <v xml:space="preserve"> CR-V            </v>
      </c>
      <c r="J192" s="5" t="str">
        <f ca="1">VLOOKUP(Table2[[#This Row],[ModelID]],Models!A:C,2,FALSE)</f>
        <v xml:space="preserve"> Honda      </v>
      </c>
      <c r="K192" s="5" t="str">
        <f ca="1">VLOOKUP(Table2[[#This Row],[DealerID]], Dealers!A:D, 3,FALSE)</f>
        <v xml:space="preserve"> Zamboanga City </v>
      </c>
      <c r="L192" s="5" t="str">
        <f ca="1">VLOOKUP(Table2[[#This Row],[DealerID]], Dealers!A:D, 2,FALSE)</f>
        <v xml:space="preserve"> Zamboanga Cars   </v>
      </c>
    </row>
    <row r="193" spans="1:12" x14ac:dyDescent="0.25">
      <c r="A193">
        <v>192</v>
      </c>
      <c r="B193" s="1">
        <v>44888</v>
      </c>
      <c r="C193">
        <f t="shared" ca="1" si="4"/>
        <v>4</v>
      </c>
      <c r="D193">
        <f t="shared" ca="1" si="5"/>
        <v>4</v>
      </c>
      <c r="E193">
        <v>1</v>
      </c>
      <c r="F193" s="10">
        <f ca="1">Table2[[#This Row],[Quantity]]*(INDEX(Models!G:G,MATCH(Table2[[#This Row],[ModelID]],Models!A:A,0)))</f>
        <v>28000</v>
      </c>
      <c r="G193" s="10">
        <f ca="1">Table2[[#This Row],[Quantity]]*(INDEX(Models!H:H,MATCH(Table2[[#This Row],[ModelID]],Models!A:A,0)))</f>
        <v>2800</v>
      </c>
      <c r="H193" t="str">
        <f ca="1">VLOOKUP(Table2[[#This Row],[DealerID]], Dealers!A:D, 4,FALSE)</f>
        <v xml:space="preserve"> Philippines  </v>
      </c>
      <c r="I193" t="str">
        <f ca="1">VLOOKUP(Table2[[#This Row],[ModelID]],Models!A:C,3,FALSE)</f>
        <v xml:space="preserve"> CR-V            </v>
      </c>
      <c r="J193" s="5" t="str">
        <f ca="1">VLOOKUP(Table2[[#This Row],[ModelID]],Models!A:C,2,FALSE)</f>
        <v xml:space="preserve"> Honda      </v>
      </c>
      <c r="K193" s="5" t="str">
        <f ca="1">VLOOKUP(Table2[[#This Row],[DealerID]], Dealers!A:D, 3,FALSE)</f>
        <v xml:space="preserve"> Manila         </v>
      </c>
      <c r="L193" s="5" t="str">
        <f ca="1">VLOOKUP(Table2[[#This Row],[DealerID]], Dealers!A:D, 2,FALSE)</f>
        <v xml:space="preserve"> Manila Motors    </v>
      </c>
    </row>
    <row r="194" spans="1:12" x14ac:dyDescent="0.25">
      <c r="A194">
        <v>193</v>
      </c>
      <c r="B194" s="1">
        <v>44889</v>
      </c>
      <c r="C194">
        <f t="shared" ca="1" si="4"/>
        <v>6</v>
      </c>
      <c r="D194">
        <f t="shared" ca="1" si="5"/>
        <v>4</v>
      </c>
      <c r="E194">
        <v>3</v>
      </c>
      <c r="F194" s="10">
        <f ca="1">Table2[[#This Row],[Quantity]]*(INDEX(Models!G:G,MATCH(Table2[[#This Row],[ModelID]],Models!A:A,0)))</f>
        <v>84000</v>
      </c>
      <c r="G194" s="10">
        <f ca="1">Table2[[#This Row],[Quantity]]*(INDEX(Models!H:H,MATCH(Table2[[#This Row],[ModelID]],Models!A:A,0)))</f>
        <v>8400</v>
      </c>
      <c r="H194" t="str">
        <f ca="1">VLOOKUP(Table2[[#This Row],[DealerID]], Dealers!A:D, 4,FALSE)</f>
        <v xml:space="preserve"> Philippines  </v>
      </c>
      <c r="I194" t="str">
        <f ca="1">VLOOKUP(Table2[[#This Row],[ModelID]],Models!A:C,3,FALSE)</f>
        <v xml:space="preserve"> CR-V            </v>
      </c>
      <c r="J194" s="5" t="str">
        <f ca="1">VLOOKUP(Table2[[#This Row],[ModelID]],Models!A:C,2,FALSE)</f>
        <v xml:space="preserve"> Honda      </v>
      </c>
      <c r="K194" s="5" t="str">
        <f ca="1">VLOOKUP(Table2[[#This Row],[DealerID]], Dealers!A:D, 3,FALSE)</f>
        <v xml:space="preserve"> Davao City     </v>
      </c>
      <c r="L194" s="5" t="str">
        <f ca="1">VLOOKUP(Table2[[#This Row],[DealerID]], Dealers!A:D, 2,FALSE)</f>
        <v xml:space="preserve"> Davao Dealers    </v>
      </c>
    </row>
    <row r="195" spans="1:12" x14ac:dyDescent="0.25">
      <c r="A195">
        <v>194</v>
      </c>
      <c r="B195" s="1">
        <v>44890</v>
      </c>
      <c r="C195">
        <f t="shared" ref="C195:C219" ca="1" si="6">RANDBETWEEN(1,10)</f>
        <v>3</v>
      </c>
      <c r="D195">
        <f t="shared" ref="D195:D219" ca="1" si="7">RANDBETWEEN(1,15)</f>
        <v>15</v>
      </c>
      <c r="E195">
        <v>1</v>
      </c>
      <c r="F195" s="10">
        <f ca="1">Table2[[#This Row],[Quantity]]*(INDEX(Models!G:G,MATCH(Table2[[#This Row],[ModelID]],Models!A:A,0)))</f>
        <v>24000</v>
      </c>
      <c r="G195" s="10">
        <f ca="1">Table2[[#This Row],[Quantity]]*(INDEX(Models!H:H,MATCH(Table2[[#This Row],[ModelID]],Models!A:A,0)))</f>
        <v>2400</v>
      </c>
      <c r="H195" t="str">
        <f ca="1">VLOOKUP(Table2[[#This Row],[DealerID]], Dealers!A:D, 4,FALSE)</f>
        <v xml:space="preserve"> Singapore    </v>
      </c>
      <c r="I195" t="str">
        <f ca="1">VLOOKUP(Table2[[#This Row],[ModelID]],Models!A:C,3,FALSE)</f>
        <v xml:space="preserve"> Mazda3          </v>
      </c>
      <c r="J195" s="5" t="str">
        <f ca="1">VLOOKUP(Table2[[#This Row],[ModelID]],Models!A:C,2,FALSE)</f>
        <v xml:space="preserve"> Mazda      </v>
      </c>
      <c r="K195" s="5" t="str">
        <f ca="1">VLOOKUP(Table2[[#This Row],[DealerID]], Dealers!A:D, 3,FALSE)</f>
        <v xml:space="preserve"> Singapore      </v>
      </c>
      <c r="L195" s="5" t="str">
        <f ca="1">VLOOKUP(Table2[[#This Row],[DealerID]], Dealers!A:D, 2,FALSE)</f>
        <v xml:space="preserve"> Singapore Autos  </v>
      </c>
    </row>
    <row r="196" spans="1:12" x14ac:dyDescent="0.25">
      <c r="A196">
        <v>195</v>
      </c>
      <c r="B196" s="1">
        <v>44891</v>
      </c>
      <c r="C196">
        <f t="shared" ca="1" si="6"/>
        <v>5</v>
      </c>
      <c r="D196">
        <f t="shared" ca="1" si="7"/>
        <v>15</v>
      </c>
      <c r="E196">
        <v>2</v>
      </c>
      <c r="F196" s="10">
        <f ca="1">Table2[[#This Row],[Quantity]]*(INDEX(Models!G:G,MATCH(Table2[[#This Row],[ModelID]],Models!A:A,0)))</f>
        <v>48000</v>
      </c>
      <c r="G196" s="10">
        <f ca="1">Table2[[#This Row],[Quantity]]*(INDEX(Models!H:H,MATCH(Table2[[#This Row],[ModelID]],Models!A:A,0)))</f>
        <v>4800</v>
      </c>
      <c r="H196" t="str">
        <f ca="1">VLOOKUP(Table2[[#This Row],[DealerID]], Dealers!A:D, 4,FALSE)</f>
        <v xml:space="preserve"> Philippines  </v>
      </c>
      <c r="I196" t="str">
        <f ca="1">VLOOKUP(Table2[[#This Row],[ModelID]],Models!A:C,3,FALSE)</f>
        <v xml:space="preserve"> Mazda3          </v>
      </c>
      <c r="J196" s="5" t="str">
        <f ca="1">VLOOKUP(Table2[[#This Row],[ModelID]],Models!A:C,2,FALSE)</f>
        <v xml:space="preserve"> Mazda      </v>
      </c>
      <c r="K196" s="5" t="str">
        <f ca="1">VLOOKUP(Table2[[#This Row],[DealerID]], Dealers!A:D, 3,FALSE)</f>
        <v xml:space="preserve"> Cebu City      </v>
      </c>
      <c r="L196" s="5" t="str">
        <f ca="1">VLOOKUP(Table2[[#This Row],[DealerID]], Dealers!A:D, 2,FALSE)</f>
        <v xml:space="preserve"> Cebu Cars        </v>
      </c>
    </row>
    <row r="197" spans="1:12" x14ac:dyDescent="0.25">
      <c r="A197">
        <v>196</v>
      </c>
      <c r="B197" s="1">
        <v>44894</v>
      </c>
      <c r="C197">
        <f t="shared" ca="1" si="6"/>
        <v>8</v>
      </c>
      <c r="D197">
        <f t="shared" ca="1" si="7"/>
        <v>10</v>
      </c>
      <c r="E197">
        <v>1</v>
      </c>
      <c r="F197" s="10">
        <f ca="1">Table2[[#This Row],[Quantity]]*(INDEX(Models!G:G,MATCH(Table2[[#This Row],[ModelID]],Models!A:A,0)))</f>
        <v>32000</v>
      </c>
      <c r="G197" s="10">
        <f ca="1">Table2[[#This Row],[Quantity]]*(INDEX(Models!H:H,MATCH(Table2[[#This Row],[ModelID]],Models!A:A,0)))</f>
        <v>3200</v>
      </c>
      <c r="H197" t="str">
        <f ca="1">VLOOKUP(Table2[[#This Row],[DealerID]], Dealers!A:D, 4,FALSE)</f>
        <v xml:space="preserve"> Philippines  </v>
      </c>
      <c r="I197" t="str">
        <f ca="1">VLOOKUP(Table2[[#This Row],[ModelID]],Models!A:C,3,FALSE)</f>
        <v xml:space="preserve"> Outlander       </v>
      </c>
      <c r="J197" s="5" t="str">
        <f ca="1">VLOOKUP(Table2[[#This Row],[ModelID]],Models!A:C,2,FALSE)</f>
        <v xml:space="preserve"> Mitsubishi </v>
      </c>
      <c r="K197" s="5" t="str">
        <f ca="1">VLOOKUP(Table2[[#This Row],[DealerID]], Dealers!A:D, 3,FALSE)</f>
        <v xml:space="preserve"> Bacolod City   </v>
      </c>
      <c r="L197" s="5" t="str">
        <f ca="1">VLOOKUP(Table2[[#This Row],[DealerID]], Dealers!A:D, 2,FALSE)</f>
        <v xml:space="preserve"> Bacolod Autos    </v>
      </c>
    </row>
    <row r="198" spans="1:12" x14ac:dyDescent="0.25">
      <c r="A198">
        <v>197</v>
      </c>
      <c r="B198" s="1">
        <v>44895</v>
      </c>
      <c r="C198">
        <f t="shared" ca="1" si="6"/>
        <v>5</v>
      </c>
      <c r="D198">
        <f t="shared" ca="1" si="7"/>
        <v>9</v>
      </c>
      <c r="E198">
        <v>1</v>
      </c>
      <c r="F198" s="10">
        <f ca="1">Table2[[#This Row],[Quantity]]*(INDEX(Models!G:G,MATCH(Table2[[#This Row],[ModelID]],Models!A:A,0)))</f>
        <v>18000</v>
      </c>
      <c r="G198" s="10">
        <f ca="1">Table2[[#This Row],[Quantity]]*(INDEX(Models!H:H,MATCH(Table2[[#This Row],[ModelID]],Models!A:A,0)))</f>
        <v>1800</v>
      </c>
      <c r="H198" t="str">
        <f ca="1">VLOOKUP(Table2[[#This Row],[DealerID]], Dealers!A:D, 4,FALSE)</f>
        <v xml:space="preserve"> Philippines  </v>
      </c>
      <c r="I198" t="str">
        <f ca="1">VLOOKUP(Table2[[#This Row],[ModelID]],Models!A:C,3,FALSE)</f>
        <v xml:space="preserve"> Xpander         </v>
      </c>
      <c r="J198" s="5" t="str">
        <f ca="1">VLOOKUP(Table2[[#This Row],[ModelID]],Models!A:C,2,FALSE)</f>
        <v xml:space="preserve"> Mitsubishi </v>
      </c>
      <c r="K198" s="5" t="str">
        <f ca="1">VLOOKUP(Table2[[#This Row],[DealerID]], Dealers!A:D, 3,FALSE)</f>
        <v xml:space="preserve"> Cebu City      </v>
      </c>
      <c r="L198" s="5" t="str">
        <f ca="1">VLOOKUP(Table2[[#This Row],[DealerID]], Dealers!A:D, 2,FALSE)</f>
        <v xml:space="preserve"> Cebu Cars        </v>
      </c>
    </row>
    <row r="199" spans="1:12" x14ac:dyDescent="0.25">
      <c r="A199">
        <v>198</v>
      </c>
      <c r="B199" s="1">
        <v>44896</v>
      </c>
      <c r="C199">
        <f t="shared" ca="1" si="6"/>
        <v>7</v>
      </c>
      <c r="D199">
        <f t="shared" ca="1" si="7"/>
        <v>3</v>
      </c>
      <c r="E199">
        <v>3</v>
      </c>
      <c r="F199" s="10">
        <f ca="1">Table2[[#This Row],[Quantity]]*(INDEX(Models!G:G,MATCH(Table2[[#This Row],[ModelID]],Models!A:A,0)))</f>
        <v>66000</v>
      </c>
      <c r="G199" s="10">
        <f ca="1">Table2[[#This Row],[Quantity]]*(INDEX(Models!H:H,MATCH(Table2[[#This Row],[ModelID]],Models!A:A,0)))</f>
        <v>13200</v>
      </c>
      <c r="H199" t="str">
        <f ca="1">VLOOKUP(Table2[[#This Row],[DealerID]], Dealers!A:D, 4,FALSE)</f>
        <v xml:space="preserve"> Philippines  </v>
      </c>
      <c r="I199" t="str">
        <f ca="1">VLOOKUP(Table2[[#This Row],[ModelID]],Models!A:C,3,FALSE)</f>
        <v xml:space="preserve"> Civic           </v>
      </c>
      <c r="J199" s="5" t="str">
        <f ca="1">VLOOKUP(Table2[[#This Row],[ModelID]],Models!A:C,2,FALSE)</f>
        <v xml:space="preserve"> Honda      </v>
      </c>
      <c r="K199" s="5" t="str">
        <f ca="1">VLOOKUP(Table2[[#This Row],[DealerID]], Dealers!A:D, 3,FALSE)</f>
        <v xml:space="preserve"> Quezon City    </v>
      </c>
      <c r="L199" s="5" t="str">
        <f ca="1">VLOOKUP(Table2[[#This Row],[DealerID]], Dealers!A:D, 2,FALSE)</f>
        <v xml:space="preserve"> Quezon Vehicles  </v>
      </c>
    </row>
    <row r="200" spans="1:12" x14ac:dyDescent="0.25">
      <c r="A200">
        <v>199</v>
      </c>
      <c r="B200" s="1">
        <v>44897</v>
      </c>
      <c r="C200">
        <f t="shared" ca="1" si="6"/>
        <v>2</v>
      </c>
      <c r="D200">
        <f t="shared" ca="1" si="7"/>
        <v>7</v>
      </c>
      <c r="E200">
        <v>1</v>
      </c>
      <c r="F200" s="10">
        <f ca="1">Table2[[#This Row],[Quantity]]*(INDEX(Models!G:G,MATCH(Table2[[#This Row],[ModelID]],Models!A:A,0)))</f>
        <v>14000</v>
      </c>
      <c r="G200" s="10">
        <f ca="1">Table2[[#This Row],[Quantity]]*(INDEX(Models!H:H,MATCH(Table2[[#This Row],[ModelID]],Models!A:A,0)))</f>
        <v>1400</v>
      </c>
      <c r="H200" t="str">
        <f ca="1">VLOOKUP(Table2[[#This Row],[DealerID]], Dealers!A:D, 4,FALSE)</f>
        <v xml:space="preserve"> Malaysia     </v>
      </c>
      <c r="I200" t="str">
        <f ca="1">VLOOKUP(Table2[[#This Row],[ModelID]],Models!A:C,3,FALSE)</f>
        <v xml:space="preserve"> Almera          </v>
      </c>
      <c r="J200" s="5" t="str">
        <f ca="1">VLOOKUP(Table2[[#This Row],[ModelID]],Models!A:C,2,FALSE)</f>
        <v xml:space="preserve"> Nissan     </v>
      </c>
      <c r="K200" s="5" t="str">
        <f ca="1">VLOOKUP(Table2[[#This Row],[DealerID]], Dealers!A:D, 3,FALSE)</f>
        <v xml:space="preserve"> George Town     </v>
      </c>
      <c r="L200" s="5" t="str">
        <f ca="1">VLOOKUP(Table2[[#This Row],[DealerID]], Dealers!A:D, 2,FALSE)</f>
        <v xml:space="preserve"> XYZ Cars         </v>
      </c>
    </row>
    <row r="201" spans="1:12" x14ac:dyDescent="0.25">
      <c r="A201">
        <v>200</v>
      </c>
      <c r="B201" s="1">
        <v>44898</v>
      </c>
      <c r="C201">
        <f t="shared" ca="1" si="6"/>
        <v>6</v>
      </c>
      <c r="D201">
        <f t="shared" ca="1" si="7"/>
        <v>14</v>
      </c>
      <c r="E201">
        <v>1</v>
      </c>
      <c r="F201" s="10">
        <f ca="1">Table2[[#This Row],[Quantity]]*(INDEX(Models!G:G,MATCH(Table2[[#This Row],[ModelID]],Models!A:A,0)))</f>
        <v>25000</v>
      </c>
      <c r="G201" s="10">
        <f ca="1">Table2[[#This Row],[Quantity]]*(INDEX(Models!H:H,MATCH(Table2[[#This Row],[ModelID]],Models!A:A,0)))</f>
        <v>5000</v>
      </c>
      <c r="H201" t="str">
        <f ca="1">VLOOKUP(Table2[[#This Row],[DealerID]], Dealers!A:D, 4,FALSE)</f>
        <v xml:space="preserve"> Philippines  </v>
      </c>
      <c r="I201" t="str">
        <f ca="1">VLOOKUP(Table2[[#This Row],[ModelID]],Models!A:C,3,FALSE)</f>
        <v xml:space="preserve"> X70             </v>
      </c>
      <c r="J201" s="5" t="str">
        <f ca="1">VLOOKUP(Table2[[#This Row],[ModelID]],Models!A:C,2,FALSE)</f>
        <v xml:space="preserve"> Proton     </v>
      </c>
      <c r="K201" s="5" t="str">
        <f ca="1">VLOOKUP(Table2[[#This Row],[DealerID]], Dealers!A:D, 3,FALSE)</f>
        <v xml:space="preserve"> Davao City     </v>
      </c>
      <c r="L201" s="5" t="str">
        <f ca="1">VLOOKUP(Table2[[#This Row],[DealerID]], Dealers!A:D, 2,FALSE)</f>
        <v xml:space="preserve"> Davao Dealers    </v>
      </c>
    </row>
    <row r="202" spans="1:12" x14ac:dyDescent="0.25">
      <c r="A202">
        <v>201</v>
      </c>
      <c r="B202" s="1">
        <v>44901</v>
      </c>
      <c r="C202">
        <f t="shared" ca="1" si="6"/>
        <v>3</v>
      </c>
      <c r="D202">
        <f t="shared" ca="1" si="7"/>
        <v>13</v>
      </c>
      <c r="E202">
        <v>2</v>
      </c>
      <c r="F202" s="10">
        <f ca="1">Table2[[#This Row],[Quantity]]*(INDEX(Models!G:G,MATCH(Table2[[#This Row],[ModelID]],Models!A:A,0)))</f>
        <v>24000</v>
      </c>
      <c r="G202" s="10">
        <f ca="1">Table2[[#This Row],[Quantity]]*(INDEX(Models!H:H,MATCH(Table2[[#This Row],[ModelID]],Models!A:A,0)))</f>
        <v>2400</v>
      </c>
      <c r="H202" t="str">
        <f ca="1">VLOOKUP(Table2[[#This Row],[DealerID]], Dealers!A:D, 4,FALSE)</f>
        <v xml:space="preserve"> Singapore    </v>
      </c>
      <c r="I202" t="str">
        <f ca="1">VLOOKUP(Table2[[#This Row],[ModelID]],Models!A:C,3,FALSE)</f>
        <v xml:space="preserve"> Persona         </v>
      </c>
      <c r="J202" s="5" t="str">
        <f ca="1">VLOOKUP(Table2[[#This Row],[ModelID]],Models!A:C,2,FALSE)</f>
        <v xml:space="preserve"> Proton     </v>
      </c>
      <c r="K202" s="5" t="str">
        <f ca="1">VLOOKUP(Table2[[#This Row],[DealerID]], Dealers!A:D, 3,FALSE)</f>
        <v xml:space="preserve"> Singapore      </v>
      </c>
      <c r="L202" s="5" t="str">
        <f ca="1">VLOOKUP(Table2[[#This Row],[DealerID]], Dealers!A:D, 2,FALSE)</f>
        <v xml:space="preserve"> Singapore Autos  </v>
      </c>
    </row>
    <row r="203" spans="1:12" x14ac:dyDescent="0.25">
      <c r="A203">
        <v>202</v>
      </c>
      <c r="B203" s="1">
        <v>44902</v>
      </c>
      <c r="C203">
        <f t="shared" ca="1" si="6"/>
        <v>6</v>
      </c>
      <c r="D203">
        <f t="shared" ca="1" si="7"/>
        <v>8</v>
      </c>
      <c r="E203">
        <v>1</v>
      </c>
      <c r="F203" s="10">
        <f ca="1">Table2[[#This Row],[Quantity]]*(INDEX(Models!G:G,MATCH(Table2[[#This Row],[ModelID]],Models!A:A,0)))</f>
        <v>26000</v>
      </c>
      <c r="G203" s="10">
        <f ca="1">Table2[[#This Row],[Quantity]]*(INDEX(Models!H:H,MATCH(Table2[[#This Row],[ModelID]],Models!A:A,0)))</f>
        <v>2600</v>
      </c>
      <c r="H203" t="str">
        <f ca="1">VLOOKUP(Table2[[#This Row],[DealerID]], Dealers!A:D, 4,FALSE)</f>
        <v xml:space="preserve"> Philippines  </v>
      </c>
      <c r="I203" t="str">
        <f ca="1">VLOOKUP(Table2[[#This Row],[ModelID]],Models!A:C,3,FALSE)</f>
        <v xml:space="preserve"> X-Trail         </v>
      </c>
      <c r="J203" s="5" t="str">
        <f ca="1">VLOOKUP(Table2[[#This Row],[ModelID]],Models!A:C,2,FALSE)</f>
        <v xml:space="preserve"> Nissan     </v>
      </c>
      <c r="K203" s="5" t="str">
        <f ca="1">VLOOKUP(Table2[[#This Row],[DealerID]], Dealers!A:D, 3,FALSE)</f>
        <v xml:space="preserve"> Davao City     </v>
      </c>
      <c r="L203" s="5" t="str">
        <f ca="1">VLOOKUP(Table2[[#This Row],[DealerID]], Dealers!A:D, 2,FALSE)</f>
        <v xml:space="preserve"> Davao Dealers    </v>
      </c>
    </row>
    <row r="204" spans="1:12" x14ac:dyDescent="0.25">
      <c r="A204">
        <v>203</v>
      </c>
      <c r="B204" s="1">
        <v>44903</v>
      </c>
      <c r="C204">
        <f t="shared" ca="1" si="6"/>
        <v>3</v>
      </c>
      <c r="D204">
        <f t="shared" ca="1" si="7"/>
        <v>6</v>
      </c>
      <c r="E204">
        <v>3</v>
      </c>
      <c r="F204" s="10">
        <f ca="1">Table2[[#This Row],[Quantity]]*(INDEX(Models!G:G,MATCH(Table2[[#This Row],[ModelID]],Models!A:A,0)))</f>
        <v>90000</v>
      </c>
      <c r="G204" s="10">
        <f ca="1">Table2[[#This Row],[Quantity]]*(INDEX(Models!H:H,MATCH(Table2[[#This Row],[ModelID]],Models!A:A,0)))</f>
        <v>9000</v>
      </c>
      <c r="H204" t="str">
        <f ca="1">VLOOKUP(Table2[[#This Row],[DealerID]], Dealers!A:D, 4,FALSE)</f>
        <v xml:space="preserve"> Singapore    </v>
      </c>
      <c r="I204" t="str">
        <f ca="1">VLOOKUP(Table2[[#This Row],[ModelID]],Models!A:C,3,FALSE)</f>
        <v xml:space="preserve"> Everest         </v>
      </c>
      <c r="J204" s="5" t="str">
        <f ca="1">VLOOKUP(Table2[[#This Row],[ModelID]],Models!A:C,2,FALSE)</f>
        <v xml:space="preserve"> Ford       </v>
      </c>
      <c r="K204" s="5" t="str">
        <f ca="1">VLOOKUP(Table2[[#This Row],[DealerID]], Dealers!A:D, 3,FALSE)</f>
        <v xml:space="preserve"> Singapore      </v>
      </c>
      <c r="L204" s="5" t="str">
        <f ca="1">VLOOKUP(Table2[[#This Row],[DealerID]], Dealers!A:D, 2,FALSE)</f>
        <v xml:space="preserve"> Singapore Autos  </v>
      </c>
    </row>
    <row r="205" spans="1:12" x14ac:dyDescent="0.25">
      <c r="A205">
        <v>204</v>
      </c>
      <c r="B205" s="1">
        <v>44904</v>
      </c>
      <c r="C205">
        <f t="shared" ca="1" si="6"/>
        <v>10</v>
      </c>
      <c r="D205">
        <f t="shared" ca="1" si="7"/>
        <v>14</v>
      </c>
      <c r="E205">
        <v>1</v>
      </c>
      <c r="F205" s="10">
        <f ca="1">Table2[[#This Row],[Quantity]]*(INDEX(Models!G:G,MATCH(Table2[[#This Row],[ModelID]],Models!A:A,0)))</f>
        <v>25000</v>
      </c>
      <c r="G205" s="10">
        <f ca="1">Table2[[#This Row],[Quantity]]*(INDEX(Models!H:H,MATCH(Table2[[#This Row],[ModelID]],Models!A:A,0)))</f>
        <v>5000</v>
      </c>
      <c r="H205" t="str">
        <f ca="1">VLOOKUP(Table2[[#This Row],[DealerID]], Dealers!A:D, 4,FALSE)</f>
        <v xml:space="preserve"> Philippines  </v>
      </c>
      <c r="I205" t="str">
        <f ca="1">VLOOKUP(Table2[[#This Row],[ModelID]],Models!A:C,3,FALSE)</f>
        <v xml:space="preserve"> X70             </v>
      </c>
      <c r="J205" s="5" t="str">
        <f ca="1">VLOOKUP(Table2[[#This Row],[ModelID]],Models!A:C,2,FALSE)</f>
        <v xml:space="preserve"> Proton     </v>
      </c>
      <c r="K205" s="5" t="str">
        <f ca="1">VLOOKUP(Table2[[#This Row],[DealerID]], Dealers!A:D, 3,FALSE)</f>
        <v xml:space="preserve"> Zamboanga City </v>
      </c>
      <c r="L205" s="5" t="str">
        <f ca="1">VLOOKUP(Table2[[#This Row],[DealerID]], Dealers!A:D, 2,FALSE)</f>
        <v xml:space="preserve"> Zamboanga Cars   </v>
      </c>
    </row>
    <row r="206" spans="1:12" x14ac:dyDescent="0.25">
      <c r="A206">
        <v>205</v>
      </c>
      <c r="B206" s="1">
        <v>44905</v>
      </c>
      <c r="C206">
        <f t="shared" ca="1" si="6"/>
        <v>5</v>
      </c>
      <c r="D206">
        <f t="shared" ca="1" si="7"/>
        <v>13</v>
      </c>
      <c r="E206">
        <v>2</v>
      </c>
      <c r="F206" s="10">
        <f ca="1">Table2[[#This Row],[Quantity]]*(INDEX(Models!G:G,MATCH(Table2[[#This Row],[ModelID]],Models!A:A,0)))</f>
        <v>24000</v>
      </c>
      <c r="G206" s="10">
        <f ca="1">Table2[[#This Row],[Quantity]]*(INDEX(Models!H:H,MATCH(Table2[[#This Row],[ModelID]],Models!A:A,0)))</f>
        <v>2400</v>
      </c>
      <c r="H206" t="str">
        <f ca="1">VLOOKUP(Table2[[#This Row],[DealerID]], Dealers!A:D, 4,FALSE)</f>
        <v xml:space="preserve"> Philippines  </v>
      </c>
      <c r="I206" t="str">
        <f ca="1">VLOOKUP(Table2[[#This Row],[ModelID]],Models!A:C,3,FALSE)</f>
        <v xml:space="preserve"> Persona         </v>
      </c>
      <c r="J206" s="5" t="str">
        <f ca="1">VLOOKUP(Table2[[#This Row],[ModelID]],Models!A:C,2,FALSE)</f>
        <v xml:space="preserve"> Proton     </v>
      </c>
      <c r="K206" s="5" t="str">
        <f ca="1">VLOOKUP(Table2[[#This Row],[DealerID]], Dealers!A:D, 3,FALSE)</f>
        <v xml:space="preserve"> Cebu City      </v>
      </c>
      <c r="L206" s="5" t="str">
        <f ca="1">VLOOKUP(Table2[[#This Row],[DealerID]], Dealers!A:D, 2,FALSE)</f>
        <v xml:space="preserve"> Cebu Cars        </v>
      </c>
    </row>
    <row r="207" spans="1:12" x14ac:dyDescent="0.25">
      <c r="A207">
        <v>206</v>
      </c>
      <c r="B207" s="1">
        <v>44908</v>
      </c>
      <c r="C207">
        <f t="shared" ca="1" si="6"/>
        <v>1</v>
      </c>
      <c r="D207">
        <f t="shared" ca="1" si="7"/>
        <v>15</v>
      </c>
      <c r="E207">
        <v>1</v>
      </c>
      <c r="F207" s="10">
        <f ca="1">Table2[[#This Row],[Quantity]]*(INDEX(Models!G:G,MATCH(Table2[[#This Row],[ModelID]],Models!A:A,0)))</f>
        <v>24000</v>
      </c>
      <c r="G207" s="10">
        <f ca="1">Table2[[#This Row],[Quantity]]*(INDEX(Models!H:H,MATCH(Table2[[#This Row],[ModelID]],Models!A:A,0)))</f>
        <v>2400</v>
      </c>
      <c r="H207" t="str">
        <f ca="1">VLOOKUP(Table2[[#This Row],[DealerID]], Dealers!A:D, 4,FALSE)</f>
        <v xml:space="preserve"> Malaysia     </v>
      </c>
      <c r="I207" t="str">
        <f ca="1">VLOOKUP(Table2[[#This Row],[ModelID]],Models!A:C,3,FALSE)</f>
        <v xml:space="preserve"> Mazda3          </v>
      </c>
      <c r="J207" s="5" t="str">
        <f ca="1">VLOOKUP(Table2[[#This Row],[ModelID]],Models!A:C,2,FALSE)</f>
        <v xml:space="preserve"> Mazda      </v>
      </c>
      <c r="K207" s="5" t="str">
        <f ca="1">VLOOKUP(Table2[[#This Row],[DealerID]], Dealers!A:D, 3,FALSE)</f>
        <v xml:space="preserve"> Kuala Lumpur   </v>
      </c>
      <c r="L207" s="5" t="str">
        <f ca="1">VLOOKUP(Table2[[#This Row],[DealerID]], Dealers!A:D, 2,FALSE)</f>
        <v xml:space="preserve"> ABC Motors       </v>
      </c>
    </row>
    <row r="208" spans="1:12" x14ac:dyDescent="0.25">
      <c r="A208">
        <v>207</v>
      </c>
      <c r="B208" s="1">
        <v>44909</v>
      </c>
      <c r="C208">
        <f t="shared" ca="1" si="6"/>
        <v>10</v>
      </c>
      <c r="D208">
        <f t="shared" ca="1" si="7"/>
        <v>1</v>
      </c>
      <c r="E208">
        <v>1</v>
      </c>
      <c r="F208" s="10">
        <f ca="1">Table2[[#This Row],[Quantity]]*(INDEX(Models!G:G,MATCH(Table2[[#This Row],[ModelID]],Models!A:A,0)))</f>
        <v>15000</v>
      </c>
      <c r="G208" s="10">
        <f ca="1">Table2[[#This Row],[Quantity]]*(INDEX(Models!H:H,MATCH(Table2[[#This Row],[ModelID]],Models!A:A,0)))</f>
        <v>1500</v>
      </c>
      <c r="H208" t="str">
        <f ca="1">VLOOKUP(Table2[[#This Row],[DealerID]], Dealers!A:D, 4,FALSE)</f>
        <v xml:space="preserve"> Philippines  </v>
      </c>
      <c r="I208" t="str">
        <f ca="1">VLOOKUP(Table2[[#This Row],[ModelID]],Models!A:C,3,FALSE)</f>
        <v xml:space="preserve"> Vios            </v>
      </c>
      <c r="J208" s="5" t="str">
        <f ca="1">VLOOKUP(Table2[[#This Row],[ModelID]],Models!A:C,2,FALSE)</f>
        <v xml:space="preserve"> Toyota     </v>
      </c>
      <c r="K208" s="5" t="str">
        <f ca="1">VLOOKUP(Table2[[#This Row],[DealerID]], Dealers!A:D, 3,FALSE)</f>
        <v xml:space="preserve"> Zamboanga City </v>
      </c>
      <c r="L208" s="5" t="str">
        <f ca="1">VLOOKUP(Table2[[#This Row],[DealerID]], Dealers!A:D, 2,FALSE)</f>
        <v xml:space="preserve"> Zamboanga Cars   </v>
      </c>
    </row>
    <row r="209" spans="1:12" x14ac:dyDescent="0.25">
      <c r="A209">
        <v>208</v>
      </c>
      <c r="B209" s="1">
        <v>44910</v>
      </c>
      <c r="C209">
        <f t="shared" ca="1" si="6"/>
        <v>3</v>
      </c>
      <c r="D209">
        <f t="shared" ca="1" si="7"/>
        <v>14</v>
      </c>
      <c r="E209">
        <v>3</v>
      </c>
      <c r="F209" s="10">
        <f ca="1">Table2[[#This Row],[Quantity]]*(INDEX(Models!G:G,MATCH(Table2[[#This Row],[ModelID]],Models!A:A,0)))</f>
        <v>75000</v>
      </c>
      <c r="G209" s="10">
        <f ca="1">Table2[[#This Row],[Quantity]]*(INDEX(Models!H:H,MATCH(Table2[[#This Row],[ModelID]],Models!A:A,0)))</f>
        <v>15000</v>
      </c>
      <c r="H209" t="str">
        <f ca="1">VLOOKUP(Table2[[#This Row],[DealerID]], Dealers!A:D, 4,FALSE)</f>
        <v xml:space="preserve"> Singapore    </v>
      </c>
      <c r="I209" t="str">
        <f ca="1">VLOOKUP(Table2[[#This Row],[ModelID]],Models!A:C,3,FALSE)</f>
        <v xml:space="preserve"> X70             </v>
      </c>
      <c r="J209" s="5" t="str">
        <f ca="1">VLOOKUP(Table2[[#This Row],[ModelID]],Models!A:C,2,FALSE)</f>
        <v xml:space="preserve"> Proton     </v>
      </c>
      <c r="K209" s="5" t="str">
        <f ca="1">VLOOKUP(Table2[[#This Row],[DealerID]], Dealers!A:D, 3,FALSE)</f>
        <v xml:space="preserve"> Singapore      </v>
      </c>
      <c r="L209" s="5" t="str">
        <f ca="1">VLOOKUP(Table2[[#This Row],[DealerID]], Dealers!A:D, 2,FALSE)</f>
        <v xml:space="preserve"> Singapore Autos  </v>
      </c>
    </row>
    <row r="210" spans="1:12" x14ac:dyDescent="0.25">
      <c r="A210">
        <v>209</v>
      </c>
      <c r="B210" s="1">
        <v>44911</v>
      </c>
      <c r="C210">
        <f t="shared" ca="1" si="6"/>
        <v>3</v>
      </c>
      <c r="D210">
        <f t="shared" ca="1" si="7"/>
        <v>10</v>
      </c>
      <c r="E210">
        <v>1</v>
      </c>
      <c r="F210" s="10">
        <f ca="1">Table2[[#This Row],[Quantity]]*(INDEX(Models!G:G,MATCH(Table2[[#This Row],[ModelID]],Models!A:A,0)))</f>
        <v>32000</v>
      </c>
      <c r="G210" s="10">
        <f ca="1">Table2[[#This Row],[Quantity]]*(INDEX(Models!H:H,MATCH(Table2[[#This Row],[ModelID]],Models!A:A,0)))</f>
        <v>3200</v>
      </c>
      <c r="H210" t="str">
        <f ca="1">VLOOKUP(Table2[[#This Row],[DealerID]], Dealers!A:D, 4,FALSE)</f>
        <v xml:space="preserve"> Singapore    </v>
      </c>
      <c r="I210" t="str">
        <f ca="1">VLOOKUP(Table2[[#This Row],[ModelID]],Models!A:C,3,FALSE)</f>
        <v xml:space="preserve"> Outlander       </v>
      </c>
      <c r="J210" s="5" t="str">
        <f ca="1">VLOOKUP(Table2[[#This Row],[ModelID]],Models!A:C,2,FALSE)</f>
        <v xml:space="preserve"> Mitsubishi </v>
      </c>
      <c r="K210" s="5" t="str">
        <f ca="1">VLOOKUP(Table2[[#This Row],[DealerID]], Dealers!A:D, 3,FALSE)</f>
        <v xml:space="preserve"> Singapore      </v>
      </c>
      <c r="L210" s="5" t="str">
        <f ca="1">VLOOKUP(Table2[[#This Row],[DealerID]], Dealers!A:D, 2,FALSE)</f>
        <v xml:space="preserve"> Singapore Autos  </v>
      </c>
    </row>
    <row r="211" spans="1:12" x14ac:dyDescent="0.25">
      <c r="A211">
        <v>210</v>
      </c>
      <c r="B211" s="1">
        <v>44912</v>
      </c>
      <c r="C211">
        <f t="shared" ca="1" si="6"/>
        <v>10</v>
      </c>
      <c r="D211">
        <f t="shared" ca="1" si="7"/>
        <v>9</v>
      </c>
      <c r="E211">
        <v>1</v>
      </c>
      <c r="F211" s="10">
        <f ca="1">Table2[[#This Row],[Quantity]]*(INDEX(Models!G:G,MATCH(Table2[[#This Row],[ModelID]],Models!A:A,0)))</f>
        <v>18000</v>
      </c>
      <c r="G211" s="10">
        <f ca="1">Table2[[#This Row],[Quantity]]*(INDEX(Models!H:H,MATCH(Table2[[#This Row],[ModelID]],Models!A:A,0)))</f>
        <v>1800</v>
      </c>
      <c r="H211" t="str">
        <f ca="1">VLOOKUP(Table2[[#This Row],[DealerID]], Dealers!A:D, 4,FALSE)</f>
        <v xml:space="preserve"> Philippines  </v>
      </c>
      <c r="I211" t="str">
        <f ca="1">VLOOKUP(Table2[[#This Row],[ModelID]],Models!A:C,3,FALSE)</f>
        <v xml:space="preserve"> Xpander         </v>
      </c>
      <c r="J211" s="5" t="str">
        <f ca="1">VLOOKUP(Table2[[#This Row],[ModelID]],Models!A:C,2,FALSE)</f>
        <v xml:space="preserve"> Mitsubishi </v>
      </c>
      <c r="K211" s="5" t="str">
        <f ca="1">VLOOKUP(Table2[[#This Row],[DealerID]], Dealers!A:D, 3,FALSE)</f>
        <v xml:space="preserve"> Zamboanga City </v>
      </c>
      <c r="L211" s="5" t="str">
        <f ca="1">VLOOKUP(Table2[[#This Row],[DealerID]], Dealers!A:D, 2,FALSE)</f>
        <v xml:space="preserve"> Zamboanga Cars   </v>
      </c>
    </row>
    <row r="212" spans="1:12" x14ac:dyDescent="0.25">
      <c r="A212">
        <v>211</v>
      </c>
      <c r="B212" s="1">
        <v>44915</v>
      </c>
      <c r="C212">
        <f t="shared" ca="1" si="6"/>
        <v>7</v>
      </c>
      <c r="D212">
        <f t="shared" ca="1" si="7"/>
        <v>6</v>
      </c>
      <c r="E212">
        <v>2</v>
      </c>
      <c r="F212" s="10">
        <f ca="1">Table2[[#This Row],[Quantity]]*(INDEX(Models!G:G,MATCH(Table2[[#This Row],[ModelID]],Models!A:A,0)))</f>
        <v>60000</v>
      </c>
      <c r="G212" s="10">
        <f ca="1">Table2[[#This Row],[Quantity]]*(INDEX(Models!H:H,MATCH(Table2[[#This Row],[ModelID]],Models!A:A,0)))</f>
        <v>6000</v>
      </c>
      <c r="H212" t="str">
        <f ca="1">VLOOKUP(Table2[[#This Row],[DealerID]], Dealers!A:D, 4,FALSE)</f>
        <v xml:space="preserve"> Philippines  </v>
      </c>
      <c r="I212" t="str">
        <f ca="1">VLOOKUP(Table2[[#This Row],[ModelID]],Models!A:C,3,FALSE)</f>
        <v xml:space="preserve"> Everest         </v>
      </c>
      <c r="J212" s="5" t="str">
        <f ca="1">VLOOKUP(Table2[[#This Row],[ModelID]],Models!A:C,2,FALSE)</f>
        <v xml:space="preserve"> Ford       </v>
      </c>
      <c r="K212" s="5" t="str">
        <f ca="1">VLOOKUP(Table2[[#This Row],[DealerID]], Dealers!A:D, 3,FALSE)</f>
        <v xml:space="preserve"> Quezon City    </v>
      </c>
      <c r="L212" s="5" t="str">
        <f ca="1">VLOOKUP(Table2[[#This Row],[DealerID]], Dealers!A:D, 2,FALSE)</f>
        <v xml:space="preserve"> Quezon Vehicles  </v>
      </c>
    </row>
    <row r="213" spans="1:12" x14ac:dyDescent="0.25">
      <c r="A213">
        <v>212</v>
      </c>
      <c r="B213" s="1">
        <v>44916</v>
      </c>
      <c r="C213">
        <f t="shared" ca="1" si="6"/>
        <v>6</v>
      </c>
      <c r="D213">
        <f t="shared" ca="1" si="7"/>
        <v>4</v>
      </c>
      <c r="E213">
        <v>1</v>
      </c>
      <c r="F213" s="10">
        <f ca="1">Table2[[#This Row],[Quantity]]*(INDEX(Models!G:G,MATCH(Table2[[#This Row],[ModelID]],Models!A:A,0)))</f>
        <v>28000</v>
      </c>
      <c r="G213" s="10">
        <f ca="1">Table2[[#This Row],[Quantity]]*(INDEX(Models!H:H,MATCH(Table2[[#This Row],[ModelID]],Models!A:A,0)))</f>
        <v>2800</v>
      </c>
      <c r="H213" t="str">
        <f ca="1">VLOOKUP(Table2[[#This Row],[DealerID]], Dealers!A:D, 4,FALSE)</f>
        <v xml:space="preserve"> Philippines  </v>
      </c>
      <c r="I213" t="str">
        <f ca="1">VLOOKUP(Table2[[#This Row],[ModelID]],Models!A:C,3,FALSE)</f>
        <v xml:space="preserve"> CR-V            </v>
      </c>
      <c r="J213" s="5" t="str">
        <f ca="1">VLOOKUP(Table2[[#This Row],[ModelID]],Models!A:C,2,FALSE)</f>
        <v xml:space="preserve"> Honda      </v>
      </c>
      <c r="K213" s="5" t="str">
        <f ca="1">VLOOKUP(Table2[[#This Row],[DealerID]], Dealers!A:D, 3,FALSE)</f>
        <v xml:space="preserve"> Davao City     </v>
      </c>
      <c r="L213" s="5" t="str">
        <f ca="1">VLOOKUP(Table2[[#This Row],[DealerID]], Dealers!A:D, 2,FALSE)</f>
        <v xml:space="preserve"> Davao Dealers    </v>
      </c>
    </row>
    <row r="214" spans="1:12" x14ac:dyDescent="0.25">
      <c r="A214">
        <v>213</v>
      </c>
      <c r="B214" s="1">
        <v>44917</v>
      </c>
      <c r="C214">
        <f t="shared" ca="1" si="6"/>
        <v>3</v>
      </c>
      <c r="D214">
        <f t="shared" ca="1" si="7"/>
        <v>14</v>
      </c>
      <c r="E214">
        <v>3</v>
      </c>
      <c r="F214" s="10">
        <f ca="1">Table2[[#This Row],[Quantity]]*(INDEX(Models!G:G,MATCH(Table2[[#This Row],[ModelID]],Models!A:A,0)))</f>
        <v>75000</v>
      </c>
      <c r="G214" s="10">
        <f ca="1">Table2[[#This Row],[Quantity]]*(INDEX(Models!H:H,MATCH(Table2[[#This Row],[ModelID]],Models!A:A,0)))</f>
        <v>15000</v>
      </c>
      <c r="H214" t="str">
        <f ca="1">VLOOKUP(Table2[[#This Row],[DealerID]], Dealers!A:D, 4,FALSE)</f>
        <v xml:space="preserve"> Singapore    </v>
      </c>
      <c r="I214" t="str">
        <f ca="1">VLOOKUP(Table2[[#This Row],[ModelID]],Models!A:C,3,FALSE)</f>
        <v xml:space="preserve"> X70             </v>
      </c>
      <c r="J214" s="5" t="str">
        <f ca="1">VLOOKUP(Table2[[#This Row],[ModelID]],Models!A:C,2,FALSE)</f>
        <v xml:space="preserve"> Proton     </v>
      </c>
      <c r="K214" s="5" t="str">
        <f ca="1">VLOOKUP(Table2[[#This Row],[DealerID]], Dealers!A:D, 3,FALSE)</f>
        <v xml:space="preserve"> Singapore      </v>
      </c>
      <c r="L214" s="5" t="str">
        <f ca="1">VLOOKUP(Table2[[#This Row],[DealerID]], Dealers!A:D, 2,FALSE)</f>
        <v xml:space="preserve"> Singapore Autos  </v>
      </c>
    </row>
    <row r="215" spans="1:12" x14ac:dyDescent="0.25">
      <c r="A215">
        <v>214</v>
      </c>
      <c r="B215" s="1">
        <v>44918</v>
      </c>
      <c r="C215">
        <f t="shared" ca="1" si="6"/>
        <v>10</v>
      </c>
      <c r="D215">
        <f t="shared" ca="1" si="7"/>
        <v>14</v>
      </c>
      <c r="E215">
        <v>1</v>
      </c>
      <c r="F215" s="10">
        <f ca="1">Table2[[#This Row],[Quantity]]*(INDEX(Models!G:G,MATCH(Table2[[#This Row],[ModelID]],Models!A:A,0)))</f>
        <v>25000</v>
      </c>
      <c r="G215" s="10">
        <f ca="1">Table2[[#This Row],[Quantity]]*(INDEX(Models!H:H,MATCH(Table2[[#This Row],[ModelID]],Models!A:A,0)))</f>
        <v>5000</v>
      </c>
      <c r="H215" t="str">
        <f ca="1">VLOOKUP(Table2[[#This Row],[DealerID]], Dealers!A:D, 4,FALSE)</f>
        <v xml:space="preserve"> Philippines  </v>
      </c>
      <c r="I215" t="str">
        <f ca="1">VLOOKUP(Table2[[#This Row],[ModelID]],Models!A:C,3,FALSE)</f>
        <v xml:space="preserve"> X70             </v>
      </c>
      <c r="J215" s="5" t="str">
        <f ca="1">VLOOKUP(Table2[[#This Row],[ModelID]],Models!A:C,2,FALSE)</f>
        <v xml:space="preserve"> Proton     </v>
      </c>
      <c r="K215" s="5" t="str">
        <f ca="1">VLOOKUP(Table2[[#This Row],[DealerID]], Dealers!A:D, 3,FALSE)</f>
        <v xml:space="preserve"> Zamboanga City </v>
      </c>
      <c r="L215" s="5" t="str">
        <f ca="1">VLOOKUP(Table2[[#This Row],[DealerID]], Dealers!A:D, 2,FALSE)</f>
        <v xml:space="preserve"> Zamboanga Cars   </v>
      </c>
    </row>
    <row r="216" spans="1:12" x14ac:dyDescent="0.25">
      <c r="A216">
        <v>215</v>
      </c>
      <c r="B216" s="1">
        <v>44919</v>
      </c>
      <c r="C216">
        <f t="shared" ca="1" si="6"/>
        <v>9</v>
      </c>
      <c r="D216">
        <f t="shared" ca="1" si="7"/>
        <v>6</v>
      </c>
      <c r="E216">
        <v>2</v>
      </c>
      <c r="F216" s="10">
        <f ca="1">Table2[[#This Row],[Quantity]]*(INDEX(Models!G:G,MATCH(Table2[[#This Row],[ModelID]],Models!A:A,0)))</f>
        <v>60000</v>
      </c>
      <c r="G216" s="10">
        <f ca="1">Table2[[#This Row],[Quantity]]*(INDEX(Models!H:H,MATCH(Table2[[#This Row],[ModelID]],Models!A:A,0)))</f>
        <v>6000</v>
      </c>
      <c r="H216" t="str">
        <f ca="1">VLOOKUP(Table2[[#This Row],[DealerID]], Dealers!A:D, 4,FALSE)</f>
        <v xml:space="preserve"> Philippines  </v>
      </c>
      <c r="I216" t="str">
        <f ca="1">VLOOKUP(Table2[[#This Row],[ModelID]],Models!A:C,3,FALSE)</f>
        <v xml:space="preserve"> Everest         </v>
      </c>
      <c r="J216" s="5" t="str">
        <f ca="1">VLOOKUP(Table2[[#This Row],[ModelID]],Models!A:C,2,FALSE)</f>
        <v xml:space="preserve"> Ford       </v>
      </c>
      <c r="K216" s="5" t="str">
        <f ca="1">VLOOKUP(Table2[[#This Row],[DealerID]], Dealers!A:D, 3,FALSE)</f>
        <v xml:space="preserve"> Iloilo City    </v>
      </c>
      <c r="L216" s="5" t="str">
        <f ca="1">VLOOKUP(Table2[[#This Row],[DealerID]], Dealers!A:D, 2,FALSE)</f>
        <v xml:space="preserve"> Iloilo Motors    </v>
      </c>
    </row>
    <row r="217" spans="1:12" x14ac:dyDescent="0.25">
      <c r="A217">
        <v>216</v>
      </c>
      <c r="B217" s="1">
        <v>44922</v>
      </c>
      <c r="C217">
        <f t="shared" ca="1" si="6"/>
        <v>6</v>
      </c>
      <c r="D217">
        <f t="shared" ca="1" si="7"/>
        <v>6</v>
      </c>
      <c r="E217">
        <v>1</v>
      </c>
      <c r="F217" s="10">
        <f ca="1">Table2[[#This Row],[Quantity]]*(INDEX(Models!G:G,MATCH(Table2[[#This Row],[ModelID]],Models!A:A,0)))</f>
        <v>30000</v>
      </c>
      <c r="G217" s="10">
        <f ca="1">Table2[[#This Row],[Quantity]]*(INDEX(Models!H:H,MATCH(Table2[[#This Row],[ModelID]],Models!A:A,0)))</f>
        <v>3000</v>
      </c>
      <c r="H217" t="str">
        <f ca="1">VLOOKUP(Table2[[#This Row],[DealerID]], Dealers!A:D, 4,FALSE)</f>
        <v xml:space="preserve"> Philippines  </v>
      </c>
      <c r="I217" t="str">
        <f ca="1">VLOOKUP(Table2[[#This Row],[ModelID]],Models!A:C,3,FALSE)</f>
        <v xml:space="preserve"> Everest         </v>
      </c>
      <c r="J217" s="5" t="str">
        <f ca="1">VLOOKUP(Table2[[#This Row],[ModelID]],Models!A:C,2,FALSE)</f>
        <v xml:space="preserve"> Ford       </v>
      </c>
      <c r="K217" s="5" t="str">
        <f ca="1">VLOOKUP(Table2[[#This Row],[DealerID]], Dealers!A:D, 3,FALSE)</f>
        <v xml:space="preserve"> Davao City     </v>
      </c>
      <c r="L217" s="5" t="str">
        <f ca="1">VLOOKUP(Table2[[#This Row],[DealerID]], Dealers!A:D, 2,FALSE)</f>
        <v xml:space="preserve"> Davao Dealers    </v>
      </c>
    </row>
    <row r="218" spans="1:12" x14ac:dyDescent="0.25">
      <c r="A218">
        <v>217</v>
      </c>
      <c r="B218" s="1">
        <v>44923</v>
      </c>
      <c r="C218">
        <f t="shared" ca="1" si="6"/>
        <v>6</v>
      </c>
      <c r="D218">
        <f t="shared" ca="1" si="7"/>
        <v>9</v>
      </c>
      <c r="E218">
        <v>1</v>
      </c>
      <c r="F218" s="10">
        <f ca="1">Table2[[#This Row],[Quantity]]*(INDEX(Models!G:G,MATCH(Table2[[#This Row],[ModelID]],Models!A:A,0)))</f>
        <v>18000</v>
      </c>
      <c r="G218" s="10">
        <f ca="1">Table2[[#This Row],[Quantity]]*(INDEX(Models!H:H,MATCH(Table2[[#This Row],[ModelID]],Models!A:A,0)))</f>
        <v>1800</v>
      </c>
      <c r="H218" t="str">
        <f ca="1">VLOOKUP(Table2[[#This Row],[DealerID]], Dealers!A:D, 4,FALSE)</f>
        <v xml:space="preserve"> Philippines  </v>
      </c>
      <c r="I218" t="str">
        <f ca="1">VLOOKUP(Table2[[#This Row],[ModelID]],Models!A:C,3,FALSE)</f>
        <v xml:space="preserve"> Xpander         </v>
      </c>
      <c r="J218" s="5" t="str">
        <f ca="1">VLOOKUP(Table2[[#This Row],[ModelID]],Models!A:C,2,FALSE)</f>
        <v xml:space="preserve"> Mitsubishi </v>
      </c>
      <c r="K218" s="5" t="str">
        <f ca="1">VLOOKUP(Table2[[#This Row],[DealerID]], Dealers!A:D, 3,FALSE)</f>
        <v xml:space="preserve"> Davao City     </v>
      </c>
      <c r="L218" s="5" t="str">
        <f ca="1">VLOOKUP(Table2[[#This Row],[DealerID]], Dealers!A:D, 2,FALSE)</f>
        <v xml:space="preserve"> Davao Dealers    </v>
      </c>
    </row>
    <row r="219" spans="1:12" x14ac:dyDescent="0.25">
      <c r="A219">
        <v>218</v>
      </c>
      <c r="B219" s="1">
        <v>44924</v>
      </c>
      <c r="C219">
        <f t="shared" ca="1" si="6"/>
        <v>3</v>
      </c>
      <c r="D219">
        <f t="shared" ca="1" si="7"/>
        <v>7</v>
      </c>
      <c r="E219">
        <v>3</v>
      </c>
      <c r="F219" s="10">
        <f ca="1">Table2[[#This Row],[Quantity]]*(INDEX(Models!G:G,MATCH(Table2[[#This Row],[ModelID]],Models!A:A,0)))</f>
        <v>42000</v>
      </c>
      <c r="G219" s="10">
        <f ca="1">Table2[[#This Row],[Quantity]]*(INDEX(Models!H:H,MATCH(Table2[[#This Row],[ModelID]],Models!A:A,0)))</f>
        <v>4200</v>
      </c>
      <c r="H219" t="str">
        <f ca="1">VLOOKUP(Table2[[#This Row],[DealerID]], Dealers!A:D, 4,FALSE)</f>
        <v xml:space="preserve"> Singapore    </v>
      </c>
      <c r="I219" t="str">
        <f ca="1">VLOOKUP(Table2[[#This Row],[ModelID]],Models!A:C,3,FALSE)</f>
        <v xml:space="preserve"> Almera          </v>
      </c>
      <c r="J219" s="5" t="str">
        <f ca="1">VLOOKUP(Table2[[#This Row],[ModelID]],Models!A:C,2,FALSE)</f>
        <v xml:space="preserve"> Nissan     </v>
      </c>
      <c r="K219" s="5" t="str">
        <f ca="1">VLOOKUP(Table2[[#This Row],[DealerID]], Dealers!A:D, 3,FALSE)</f>
        <v xml:space="preserve"> Singapore      </v>
      </c>
      <c r="L219" s="5" t="str">
        <f ca="1">VLOOKUP(Table2[[#This Row],[DealerID]], Dealers!A:D, 2,FALSE)</f>
        <v xml:space="preserve"> Singapore Autos  </v>
      </c>
    </row>
    <row r="220" spans="1:12" x14ac:dyDescent="0.25">
      <c r="B220" s="1"/>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0C59-BA00-422E-AA8E-0DE987A4F957}">
  <dimension ref="A3:O31"/>
  <sheetViews>
    <sheetView topLeftCell="C1" zoomScaleNormal="100" workbookViewId="0">
      <selection activeCell="O13" sqref="O13"/>
    </sheetView>
  </sheetViews>
  <sheetFormatPr defaultRowHeight="15" x14ac:dyDescent="0.25"/>
  <cols>
    <col min="1" max="1" width="13.140625" bestFit="1" customWidth="1"/>
    <col min="2" max="2" width="17.7109375" bestFit="1" customWidth="1"/>
  </cols>
  <sheetData>
    <row r="3" spans="1:15" x14ac:dyDescent="0.25">
      <c r="A3" s="2" t="s">
        <v>76</v>
      </c>
      <c r="B3" t="s">
        <v>78</v>
      </c>
    </row>
    <row r="4" spans="1:15" x14ac:dyDescent="0.25">
      <c r="A4" s="3" t="s">
        <v>19</v>
      </c>
      <c r="B4" s="5">
        <v>178300</v>
      </c>
      <c r="N4" s="2"/>
      <c r="O4" s="2"/>
    </row>
    <row r="5" spans="1:15" x14ac:dyDescent="0.25">
      <c r="A5" s="3" t="s">
        <v>27</v>
      </c>
      <c r="B5" s="5">
        <v>717300</v>
      </c>
    </row>
    <row r="6" spans="1:15" x14ac:dyDescent="0.25">
      <c r="A6" s="3" t="s">
        <v>24</v>
      </c>
      <c r="B6" s="5">
        <v>58100</v>
      </c>
    </row>
    <row r="7" spans="1:15" x14ac:dyDescent="0.25">
      <c r="A7" s="3" t="s">
        <v>77</v>
      </c>
      <c r="B7" s="5">
        <v>953700</v>
      </c>
    </row>
    <row r="19" spans="4:8" x14ac:dyDescent="0.25">
      <c r="D19" s="6" t="s">
        <v>83</v>
      </c>
      <c r="E19" s="6"/>
      <c r="F19" s="6"/>
      <c r="G19" s="6"/>
    </row>
    <row r="21" spans="4:8" ht="15" customHeight="1" x14ac:dyDescent="0.25">
      <c r="D21" s="7" t="s">
        <v>91</v>
      </c>
      <c r="E21" s="7"/>
      <c r="F21" s="7"/>
      <c r="G21" s="7"/>
      <c r="H21" s="7"/>
    </row>
    <row r="22" spans="4:8" x14ac:dyDescent="0.25">
      <c r="D22" s="7"/>
      <c r="E22" s="7"/>
      <c r="F22" s="7"/>
      <c r="G22" s="7"/>
      <c r="H22" s="7"/>
    </row>
    <row r="23" spans="4:8" x14ac:dyDescent="0.25">
      <c r="D23" s="7"/>
      <c r="E23" s="7"/>
      <c r="F23" s="7"/>
      <c r="G23" s="7"/>
      <c r="H23" s="7"/>
    </row>
    <row r="24" spans="4:8" x14ac:dyDescent="0.25">
      <c r="D24" s="7"/>
      <c r="E24" s="7"/>
      <c r="F24" s="7"/>
      <c r="G24" s="7"/>
      <c r="H24" s="7"/>
    </row>
    <row r="25" spans="4:8" x14ac:dyDescent="0.25">
      <c r="D25" s="7"/>
      <c r="E25" s="7"/>
      <c r="F25" s="7"/>
      <c r="G25" s="7"/>
      <c r="H25" s="7"/>
    </row>
    <row r="26" spans="4:8" x14ac:dyDescent="0.25">
      <c r="D26" s="7"/>
      <c r="E26" s="7"/>
      <c r="F26" s="7"/>
      <c r="G26" s="7"/>
      <c r="H26" s="7"/>
    </row>
    <row r="27" spans="4:8" x14ac:dyDescent="0.25">
      <c r="D27" s="7"/>
      <c r="E27" s="7"/>
      <c r="F27" s="7"/>
      <c r="G27" s="7"/>
      <c r="H27" s="7"/>
    </row>
    <row r="28" spans="4:8" x14ac:dyDescent="0.25">
      <c r="D28" s="7"/>
      <c r="E28" s="7"/>
      <c r="F28" s="7"/>
      <c r="G28" s="7"/>
      <c r="H28" s="7"/>
    </row>
    <row r="29" spans="4:8" x14ac:dyDescent="0.25">
      <c r="D29" s="7"/>
      <c r="E29" s="7"/>
      <c r="F29" s="7"/>
      <c r="G29" s="7"/>
      <c r="H29" s="7"/>
    </row>
    <row r="30" spans="4:8" x14ac:dyDescent="0.25">
      <c r="D30" s="7"/>
      <c r="E30" s="7"/>
      <c r="F30" s="7"/>
      <c r="G30" s="7"/>
      <c r="H30" s="7"/>
    </row>
    <row r="31" spans="4:8" x14ac:dyDescent="0.25">
      <c r="D31" s="7"/>
      <c r="E31" s="7"/>
      <c r="F31" s="7"/>
      <c r="G31" s="7"/>
      <c r="H31" s="7"/>
    </row>
  </sheetData>
  <mergeCells count="1">
    <mergeCell ref="D21:H3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036F-16FB-4E8E-8179-C04304E9E7AB}">
  <dimension ref="A3:V27"/>
  <sheetViews>
    <sheetView workbookViewId="0">
      <selection activeCell="U14" sqref="U14"/>
    </sheetView>
  </sheetViews>
  <sheetFormatPr defaultRowHeight="15" x14ac:dyDescent="0.25"/>
  <cols>
    <col min="1" max="1" width="13.140625" bestFit="1" customWidth="1"/>
    <col min="2" max="2" width="15.42578125" bestFit="1" customWidth="1"/>
  </cols>
  <sheetData>
    <row r="3" spans="1:22" x14ac:dyDescent="0.25">
      <c r="A3" s="2" t="s">
        <v>76</v>
      </c>
      <c r="B3" t="s">
        <v>79</v>
      </c>
      <c r="K3" s="2" t="s">
        <v>76</v>
      </c>
      <c r="L3" s="2" t="s">
        <v>79</v>
      </c>
      <c r="M3" s="2"/>
      <c r="N3" s="2"/>
      <c r="O3" s="2"/>
      <c r="P3" s="2"/>
      <c r="Q3" s="2"/>
      <c r="R3" s="2"/>
      <c r="S3" s="2"/>
      <c r="T3" s="2"/>
      <c r="U3" s="2"/>
      <c r="V3" s="2"/>
    </row>
    <row r="4" spans="1:22" x14ac:dyDescent="0.25">
      <c r="A4" s="3" t="s">
        <v>72</v>
      </c>
      <c r="B4" s="5">
        <v>40</v>
      </c>
      <c r="K4" s="3" t="s">
        <v>54</v>
      </c>
      <c r="L4" s="5">
        <v>52</v>
      </c>
    </row>
    <row r="5" spans="1:22" x14ac:dyDescent="0.25">
      <c r="A5" s="3" t="s">
        <v>60</v>
      </c>
      <c r="B5" s="5">
        <v>30</v>
      </c>
      <c r="K5" s="3" t="s">
        <v>52</v>
      </c>
      <c r="L5" s="5">
        <v>63</v>
      </c>
    </row>
    <row r="6" spans="1:22" x14ac:dyDescent="0.25">
      <c r="A6" s="3" t="s">
        <v>68</v>
      </c>
      <c r="B6" s="5">
        <v>37</v>
      </c>
      <c r="K6" s="3" t="s">
        <v>50</v>
      </c>
      <c r="L6" s="5">
        <v>49</v>
      </c>
    </row>
    <row r="7" spans="1:22" x14ac:dyDescent="0.25">
      <c r="A7" s="3" t="s">
        <v>77</v>
      </c>
      <c r="B7" s="5">
        <v>107</v>
      </c>
      <c r="K7" s="3" t="s">
        <v>77</v>
      </c>
      <c r="L7" s="5">
        <v>164</v>
      </c>
    </row>
    <row r="14" spans="1:22" x14ac:dyDescent="0.25">
      <c r="B14" s="8" t="s">
        <v>84</v>
      </c>
      <c r="C14" s="8"/>
      <c r="D14" s="8"/>
      <c r="E14" s="8"/>
      <c r="F14" s="8"/>
    </row>
    <row r="16" spans="1:22" x14ac:dyDescent="0.25">
      <c r="B16" s="9" t="s">
        <v>85</v>
      </c>
      <c r="C16" s="9"/>
      <c r="D16" s="9"/>
      <c r="E16" s="9"/>
      <c r="F16" s="9"/>
      <c r="N16" s="9" t="s">
        <v>90</v>
      </c>
      <c r="O16" s="9"/>
      <c r="P16" s="9"/>
      <c r="Q16" s="9"/>
      <c r="R16" s="9"/>
      <c r="S16" s="9"/>
    </row>
    <row r="17" spans="2:19" x14ac:dyDescent="0.25">
      <c r="B17" s="9"/>
      <c r="C17" s="9"/>
      <c r="D17" s="9"/>
      <c r="E17" s="9"/>
      <c r="F17" s="9"/>
      <c r="N17" s="9"/>
      <c r="O17" s="9"/>
      <c r="P17" s="9"/>
      <c r="Q17" s="9"/>
      <c r="R17" s="9"/>
      <c r="S17" s="9"/>
    </row>
    <row r="18" spans="2:19" x14ac:dyDescent="0.25">
      <c r="B18" s="9"/>
      <c r="C18" s="9"/>
      <c r="D18" s="9"/>
      <c r="E18" s="9"/>
      <c r="F18" s="9"/>
      <c r="N18" s="9"/>
      <c r="O18" s="9"/>
      <c r="P18" s="9"/>
      <c r="Q18" s="9"/>
      <c r="R18" s="9"/>
      <c r="S18" s="9"/>
    </row>
    <row r="19" spans="2:19" x14ac:dyDescent="0.25">
      <c r="B19" s="9"/>
      <c r="C19" s="9"/>
      <c r="D19" s="9"/>
      <c r="E19" s="9"/>
      <c r="F19" s="9"/>
      <c r="N19" s="9"/>
      <c r="O19" s="9"/>
      <c r="P19" s="9"/>
      <c r="Q19" s="9"/>
      <c r="R19" s="9"/>
      <c r="S19" s="9"/>
    </row>
    <row r="20" spans="2:19" x14ac:dyDescent="0.25">
      <c r="B20" s="9"/>
      <c r="C20" s="9"/>
      <c r="D20" s="9"/>
      <c r="E20" s="9"/>
      <c r="F20" s="9"/>
      <c r="N20" s="9"/>
      <c r="O20" s="9"/>
      <c r="P20" s="9"/>
      <c r="Q20" s="9"/>
      <c r="R20" s="9"/>
      <c r="S20" s="9"/>
    </row>
    <row r="21" spans="2:19" x14ac:dyDescent="0.25">
      <c r="B21" s="9"/>
      <c r="C21" s="9"/>
      <c r="D21" s="9"/>
      <c r="E21" s="9"/>
      <c r="F21" s="9"/>
      <c r="N21" s="9"/>
      <c r="O21" s="9"/>
      <c r="P21" s="9"/>
      <c r="Q21" s="9"/>
      <c r="R21" s="9"/>
      <c r="S21" s="9"/>
    </row>
    <row r="22" spans="2:19" x14ac:dyDescent="0.25">
      <c r="B22" s="9"/>
      <c r="C22" s="9"/>
      <c r="D22" s="9"/>
      <c r="E22" s="9"/>
      <c r="F22" s="9"/>
      <c r="N22" s="9"/>
      <c r="O22" s="9"/>
      <c r="P22" s="9"/>
      <c r="Q22" s="9"/>
      <c r="R22" s="9"/>
      <c r="S22" s="9"/>
    </row>
    <row r="23" spans="2:19" x14ac:dyDescent="0.25">
      <c r="B23" s="9"/>
      <c r="C23" s="9"/>
      <c r="D23" s="9"/>
      <c r="E23" s="9"/>
      <c r="F23" s="9"/>
      <c r="N23" s="9"/>
      <c r="O23" s="9"/>
      <c r="P23" s="9"/>
      <c r="Q23" s="9"/>
      <c r="R23" s="9"/>
      <c r="S23" s="9"/>
    </row>
    <row r="24" spans="2:19" x14ac:dyDescent="0.25">
      <c r="B24" s="9"/>
      <c r="C24" s="9"/>
      <c r="D24" s="9"/>
      <c r="E24" s="9"/>
      <c r="F24" s="9"/>
      <c r="N24" s="9"/>
      <c r="O24" s="9"/>
      <c r="P24" s="9"/>
      <c r="Q24" s="9"/>
      <c r="R24" s="9"/>
      <c r="S24" s="9"/>
    </row>
    <row r="25" spans="2:19" x14ac:dyDescent="0.25">
      <c r="B25" s="9"/>
      <c r="C25" s="9"/>
      <c r="D25" s="9"/>
      <c r="E25" s="9"/>
      <c r="F25" s="9"/>
      <c r="N25" s="9"/>
      <c r="O25" s="9"/>
      <c r="P25" s="9"/>
      <c r="Q25" s="9"/>
      <c r="R25" s="9"/>
      <c r="S25" s="9"/>
    </row>
    <row r="26" spans="2:19" x14ac:dyDescent="0.25">
      <c r="B26" s="9"/>
      <c r="C26" s="9"/>
      <c r="D26" s="9"/>
      <c r="E26" s="9"/>
      <c r="F26" s="9"/>
      <c r="N26" s="9"/>
      <c r="O26" s="9"/>
      <c r="P26" s="9"/>
      <c r="Q26" s="9"/>
      <c r="R26" s="9"/>
      <c r="S26" s="9"/>
    </row>
    <row r="27" spans="2:19" x14ac:dyDescent="0.25">
      <c r="B27" s="9"/>
      <c r="C27" s="9"/>
      <c r="D27" s="9"/>
      <c r="E27" s="9"/>
      <c r="F27" s="9"/>
      <c r="N27" s="9"/>
      <c r="O27" s="9"/>
      <c r="P27" s="9"/>
      <c r="Q27" s="9"/>
      <c r="R27" s="9"/>
      <c r="S27" s="9"/>
    </row>
  </sheetData>
  <mergeCells count="3">
    <mergeCell ref="B14:F14"/>
    <mergeCell ref="B16:F27"/>
    <mergeCell ref="N16:S27"/>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108C-D150-46C9-92F2-0515AC63526D}">
  <dimension ref="A3:M30"/>
  <sheetViews>
    <sheetView workbookViewId="0">
      <selection activeCell="O28" sqref="O28"/>
    </sheetView>
  </sheetViews>
  <sheetFormatPr defaultRowHeight="15" x14ac:dyDescent="0.25"/>
  <cols>
    <col min="1" max="1" width="13.140625" bestFit="1" customWidth="1"/>
    <col min="2" max="2" width="15.42578125" bestFit="1" customWidth="1"/>
    <col min="3" max="3" width="17.7109375" bestFit="1" customWidth="1"/>
  </cols>
  <sheetData>
    <row r="3" spans="1:3" x14ac:dyDescent="0.25">
      <c r="A3" s="2" t="s">
        <v>76</v>
      </c>
      <c r="B3" t="s">
        <v>79</v>
      </c>
      <c r="C3" t="s">
        <v>78</v>
      </c>
    </row>
    <row r="4" spans="1:3" x14ac:dyDescent="0.25">
      <c r="A4" s="3" t="s">
        <v>46</v>
      </c>
      <c r="B4" s="5">
        <v>38</v>
      </c>
      <c r="C4" s="5">
        <v>106500</v>
      </c>
    </row>
    <row r="5" spans="1:3" x14ac:dyDescent="0.25">
      <c r="A5" s="3" t="s">
        <v>44</v>
      </c>
      <c r="B5" s="5">
        <v>42</v>
      </c>
      <c r="C5" s="5">
        <v>151200</v>
      </c>
    </row>
    <row r="6" spans="1:3" x14ac:dyDescent="0.25">
      <c r="A6" s="3" t="s">
        <v>54</v>
      </c>
      <c r="B6" s="5">
        <v>52</v>
      </c>
      <c r="C6" s="5">
        <v>169800</v>
      </c>
    </row>
    <row r="7" spans="1:3" x14ac:dyDescent="0.25">
      <c r="A7" s="3" t="s">
        <v>58</v>
      </c>
      <c r="B7" s="5">
        <v>31</v>
      </c>
      <c r="C7" s="5">
        <v>74400</v>
      </c>
    </row>
    <row r="8" spans="1:3" x14ac:dyDescent="0.25">
      <c r="A8" s="3" t="s">
        <v>52</v>
      </c>
      <c r="B8" s="5">
        <v>63</v>
      </c>
      <c r="C8" s="5">
        <v>145600</v>
      </c>
    </row>
    <row r="9" spans="1:3" x14ac:dyDescent="0.25">
      <c r="A9" s="3" t="s">
        <v>50</v>
      </c>
      <c r="B9" s="5">
        <v>49</v>
      </c>
      <c r="C9" s="5">
        <v>98600</v>
      </c>
    </row>
    <row r="10" spans="1:3" x14ac:dyDescent="0.25">
      <c r="A10" s="3" t="s">
        <v>56</v>
      </c>
      <c r="B10" s="5">
        <v>30</v>
      </c>
      <c r="C10" s="5">
        <v>119600</v>
      </c>
    </row>
    <row r="11" spans="1:3" x14ac:dyDescent="0.25">
      <c r="A11" s="3" t="s">
        <v>40</v>
      </c>
      <c r="B11" s="5">
        <v>42</v>
      </c>
      <c r="C11" s="5">
        <v>71500</v>
      </c>
    </row>
    <row r="12" spans="1:3" x14ac:dyDescent="0.25">
      <c r="A12" s="3" t="s">
        <v>77</v>
      </c>
      <c r="B12" s="5">
        <v>347</v>
      </c>
      <c r="C12" s="5">
        <v>937200</v>
      </c>
    </row>
    <row r="19" spans="2:13" x14ac:dyDescent="0.25">
      <c r="B19" s="8" t="s">
        <v>86</v>
      </c>
      <c r="C19" s="8"/>
      <c r="D19" s="8"/>
      <c r="E19" s="8"/>
      <c r="F19" s="8"/>
    </row>
    <row r="21" spans="2:13" x14ac:dyDescent="0.25">
      <c r="B21" s="9" t="s">
        <v>87</v>
      </c>
      <c r="C21" s="9"/>
      <c r="D21" s="9"/>
      <c r="E21" s="9"/>
      <c r="F21" s="9"/>
      <c r="H21" s="9" t="s">
        <v>88</v>
      </c>
      <c r="I21" s="9"/>
      <c r="J21" s="9"/>
      <c r="K21" s="9"/>
      <c r="L21" s="9"/>
      <c r="M21" s="9"/>
    </row>
    <row r="22" spans="2:13" x14ac:dyDescent="0.25">
      <c r="B22" s="9"/>
      <c r="C22" s="9"/>
      <c r="D22" s="9"/>
      <c r="E22" s="9"/>
      <c r="F22" s="9"/>
      <c r="H22" s="9"/>
      <c r="I22" s="9"/>
      <c r="J22" s="9"/>
      <c r="K22" s="9"/>
      <c r="L22" s="9"/>
      <c r="M22" s="9"/>
    </row>
    <row r="23" spans="2:13" x14ac:dyDescent="0.25">
      <c r="B23" s="9"/>
      <c r="C23" s="9"/>
      <c r="D23" s="9"/>
      <c r="E23" s="9"/>
      <c r="F23" s="9"/>
      <c r="H23" s="9"/>
      <c r="I23" s="9"/>
      <c r="J23" s="9"/>
      <c r="K23" s="9"/>
      <c r="L23" s="9"/>
      <c r="M23" s="9"/>
    </row>
    <row r="24" spans="2:13" x14ac:dyDescent="0.25">
      <c r="B24" s="9"/>
      <c r="C24" s="9"/>
      <c r="D24" s="9"/>
      <c r="E24" s="9"/>
      <c r="F24" s="9"/>
      <c r="H24" s="9"/>
      <c r="I24" s="9"/>
      <c r="J24" s="9"/>
      <c r="K24" s="9"/>
      <c r="L24" s="9"/>
      <c r="M24" s="9"/>
    </row>
    <row r="25" spans="2:13" x14ac:dyDescent="0.25">
      <c r="B25" s="9"/>
      <c r="C25" s="9"/>
      <c r="D25" s="9"/>
      <c r="E25" s="9"/>
      <c r="F25" s="9"/>
      <c r="H25" s="9"/>
      <c r="I25" s="9"/>
      <c r="J25" s="9"/>
      <c r="K25" s="9"/>
      <c r="L25" s="9"/>
      <c r="M25" s="9"/>
    </row>
    <row r="26" spans="2:13" x14ac:dyDescent="0.25">
      <c r="B26" s="9"/>
      <c r="C26" s="9"/>
      <c r="D26" s="9"/>
      <c r="E26" s="9"/>
      <c r="F26" s="9"/>
      <c r="H26" s="9"/>
      <c r="I26" s="9"/>
      <c r="J26" s="9"/>
      <c r="K26" s="9"/>
      <c r="L26" s="9"/>
      <c r="M26" s="9"/>
    </row>
    <row r="27" spans="2:13" x14ac:dyDescent="0.25">
      <c r="B27" s="9"/>
      <c r="C27" s="9"/>
      <c r="D27" s="9"/>
      <c r="E27" s="9"/>
      <c r="F27" s="9"/>
      <c r="H27" s="9"/>
      <c r="I27" s="9"/>
      <c r="J27" s="9"/>
      <c r="K27" s="9"/>
      <c r="L27" s="9"/>
      <c r="M27" s="9"/>
    </row>
    <row r="28" spans="2:13" x14ac:dyDescent="0.25">
      <c r="B28" s="9"/>
      <c r="C28" s="9"/>
      <c r="D28" s="9"/>
      <c r="E28" s="9"/>
      <c r="F28" s="9"/>
      <c r="H28" s="9"/>
      <c r="I28" s="9"/>
      <c r="J28" s="9"/>
      <c r="K28" s="9"/>
      <c r="L28" s="9"/>
      <c r="M28" s="9"/>
    </row>
    <row r="29" spans="2:13" x14ac:dyDescent="0.25">
      <c r="B29" s="9"/>
      <c r="C29" s="9"/>
      <c r="D29" s="9"/>
      <c r="E29" s="9"/>
      <c r="F29" s="9"/>
      <c r="H29" s="9"/>
      <c r="I29" s="9"/>
      <c r="J29" s="9"/>
      <c r="K29" s="9"/>
      <c r="L29" s="9"/>
      <c r="M29" s="9"/>
    </row>
    <row r="30" spans="2:13" x14ac:dyDescent="0.25">
      <c r="B30" s="9"/>
      <c r="C30" s="9"/>
      <c r="D30" s="9"/>
      <c r="E30" s="9"/>
      <c r="F30" s="9"/>
      <c r="H30" s="9"/>
      <c r="I30" s="9"/>
      <c r="J30" s="9"/>
      <c r="K30" s="9"/>
      <c r="L30" s="9"/>
      <c r="M30" s="9"/>
    </row>
  </sheetData>
  <mergeCells count="3">
    <mergeCell ref="B19:F19"/>
    <mergeCell ref="B21:F30"/>
    <mergeCell ref="H21:M30"/>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884B-00F7-4EA5-A920-3EDF78E7F354}">
  <dimension ref="A1:Z22"/>
  <sheetViews>
    <sheetView tabSelected="1" zoomScale="85" zoomScaleNormal="85" workbookViewId="0">
      <selection activeCell="S34" sqref="S34"/>
    </sheetView>
  </sheetViews>
  <sheetFormatPr defaultRowHeight="15" x14ac:dyDescent="0.25"/>
  <cols>
    <col min="1" max="1" width="22.28515625" bestFit="1" customWidth="1"/>
    <col min="2" max="2" width="17.7109375" bestFit="1" customWidth="1"/>
    <col min="3" max="3" width="16.5703125" bestFit="1" customWidth="1"/>
  </cols>
  <sheetData>
    <row r="1" spans="1:26" x14ac:dyDescent="0.25">
      <c r="A1" s="2" t="s">
        <v>76</v>
      </c>
      <c r="B1" t="s">
        <v>78</v>
      </c>
      <c r="C1" t="s">
        <v>93</v>
      </c>
    </row>
    <row r="2" spans="1:26" x14ac:dyDescent="0.25">
      <c r="A2" s="3" t="s">
        <v>35</v>
      </c>
      <c r="B2" s="5">
        <v>115600</v>
      </c>
      <c r="C2" s="5">
        <v>915000</v>
      </c>
    </row>
    <row r="3" spans="1:26" x14ac:dyDescent="0.25">
      <c r="A3" s="4" t="s">
        <v>34</v>
      </c>
      <c r="B3" s="5">
        <v>115600</v>
      </c>
      <c r="C3" s="5">
        <v>915000</v>
      </c>
    </row>
    <row r="4" spans="1:26" x14ac:dyDescent="0.25">
      <c r="A4" s="3" t="s">
        <v>29</v>
      </c>
      <c r="B4" s="5">
        <v>120200</v>
      </c>
      <c r="C4" s="5">
        <v>944000</v>
      </c>
      <c r="U4" s="8" t="s">
        <v>92</v>
      </c>
      <c r="V4" s="8"/>
      <c r="W4" s="8"/>
      <c r="X4" s="8"/>
      <c r="Y4" s="8"/>
      <c r="Z4" s="8"/>
    </row>
    <row r="5" spans="1:26" x14ac:dyDescent="0.25">
      <c r="A5" s="4" t="s">
        <v>28</v>
      </c>
      <c r="B5" s="5">
        <v>120200</v>
      </c>
      <c r="C5" s="5">
        <v>944000</v>
      </c>
    </row>
    <row r="6" spans="1:26" x14ac:dyDescent="0.25">
      <c r="A6" s="3" t="s">
        <v>31</v>
      </c>
      <c r="B6" s="5">
        <v>67800</v>
      </c>
      <c r="C6" s="5">
        <v>678000</v>
      </c>
    </row>
    <row r="7" spans="1:26" x14ac:dyDescent="0.25">
      <c r="A7" s="4" t="s">
        <v>30</v>
      </c>
      <c r="B7" s="5">
        <v>67800</v>
      </c>
      <c r="C7" s="5">
        <v>678000</v>
      </c>
      <c r="U7" s="8" t="s">
        <v>89</v>
      </c>
      <c r="V7" s="8"/>
      <c r="W7" s="8"/>
      <c r="X7" s="8"/>
      <c r="Y7" s="8"/>
      <c r="Z7" s="8"/>
    </row>
    <row r="8" spans="1:26" x14ac:dyDescent="0.25">
      <c r="A8" s="3" t="s">
        <v>21</v>
      </c>
      <c r="B8" s="5">
        <v>81000</v>
      </c>
      <c r="C8" s="5">
        <v>696000</v>
      </c>
      <c r="U8" s="8"/>
      <c r="V8" s="8"/>
      <c r="W8" s="8"/>
      <c r="X8" s="8"/>
      <c r="Y8" s="8"/>
      <c r="Z8" s="8"/>
    </row>
    <row r="9" spans="1:26" x14ac:dyDescent="0.25">
      <c r="A9" s="4" t="s">
        <v>20</v>
      </c>
      <c r="B9" s="5">
        <v>81000</v>
      </c>
      <c r="C9" s="5">
        <v>696000</v>
      </c>
      <c r="U9" s="8"/>
      <c r="V9" s="8"/>
      <c r="W9" s="8"/>
      <c r="X9" s="8"/>
      <c r="Y9" s="8"/>
      <c r="Z9" s="8"/>
    </row>
    <row r="10" spans="1:26" x14ac:dyDescent="0.25">
      <c r="A10" s="3" t="s">
        <v>37</v>
      </c>
      <c r="B10" s="5">
        <v>166900</v>
      </c>
      <c r="C10" s="5">
        <v>1323000</v>
      </c>
      <c r="U10" s="8"/>
      <c r="V10" s="8"/>
      <c r="W10" s="8"/>
      <c r="X10" s="8"/>
      <c r="Y10" s="8"/>
      <c r="Z10" s="8"/>
    </row>
    <row r="11" spans="1:26" x14ac:dyDescent="0.25">
      <c r="A11" s="4" t="s">
        <v>36</v>
      </c>
      <c r="B11" s="5">
        <v>166900</v>
      </c>
      <c r="C11" s="5">
        <v>1323000</v>
      </c>
      <c r="U11" s="8"/>
      <c r="V11" s="8"/>
      <c r="W11" s="8"/>
      <c r="X11" s="8"/>
      <c r="Y11" s="8"/>
      <c r="Z11" s="8"/>
    </row>
    <row r="12" spans="1:26" x14ac:dyDescent="0.25">
      <c r="A12" s="3" t="s">
        <v>18</v>
      </c>
      <c r="B12" s="5">
        <v>85900</v>
      </c>
      <c r="C12" s="5">
        <v>745000</v>
      </c>
      <c r="U12" s="8"/>
      <c r="V12" s="8"/>
      <c r="W12" s="8"/>
      <c r="X12" s="8"/>
      <c r="Y12" s="8"/>
      <c r="Z12" s="8"/>
    </row>
    <row r="13" spans="1:26" x14ac:dyDescent="0.25">
      <c r="A13" s="4" t="s">
        <v>17</v>
      </c>
      <c r="B13" s="5">
        <v>85900</v>
      </c>
      <c r="C13" s="5">
        <v>745000</v>
      </c>
      <c r="U13" s="8"/>
      <c r="V13" s="8"/>
      <c r="W13" s="8"/>
      <c r="X13" s="8"/>
      <c r="Y13" s="8"/>
      <c r="Z13" s="8"/>
    </row>
    <row r="14" spans="1:26" x14ac:dyDescent="0.25">
      <c r="A14" s="3" t="s">
        <v>26</v>
      </c>
      <c r="B14" s="5">
        <v>64500</v>
      </c>
      <c r="C14" s="5">
        <v>468000</v>
      </c>
      <c r="U14" s="8"/>
      <c r="V14" s="8"/>
      <c r="W14" s="8"/>
      <c r="X14" s="8"/>
      <c r="Y14" s="8"/>
      <c r="Z14" s="8"/>
    </row>
    <row r="15" spans="1:26" x14ac:dyDescent="0.25">
      <c r="A15" s="4" t="s">
        <v>25</v>
      </c>
      <c r="B15" s="5">
        <v>64500</v>
      </c>
      <c r="C15" s="5">
        <v>468000</v>
      </c>
      <c r="U15" s="8"/>
      <c r="V15" s="8"/>
      <c r="W15" s="8"/>
      <c r="X15" s="8"/>
      <c r="Y15" s="8"/>
      <c r="Z15" s="8"/>
    </row>
    <row r="16" spans="1:26" x14ac:dyDescent="0.25">
      <c r="A16" s="3" t="s">
        <v>33</v>
      </c>
      <c r="B16" s="5">
        <v>75600</v>
      </c>
      <c r="C16" s="5">
        <v>575000</v>
      </c>
      <c r="U16" s="8"/>
      <c r="V16" s="8"/>
      <c r="W16" s="8"/>
      <c r="X16" s="8"/>
      <c r="Y16" s="8"/>
      <c r="Z16" s="8"/>
    </row>
    <row r="17" spans="1:3" x14ac:dyDescent="0.25">
      <c r="A17" s="4" t="s">
        <v>32</v>
      </c>
      <c r="B17" s="5">
        <v>75600</v>
      </c>
      <c r="C17" s="5">
        <v>575000</v>
      </c>
    </row>
    <row r="18" spans="1:3" x14ac:dyDescent="0.25">
      <c r="A18" s="3" t="s">
        <v>23</v>
      </c>
      <c r="B18" s="5">
        <v>64200</v>
      </c>
      <c r="C18" s="5">
        <v>576000</v>
      </c>
    </row>
    <row r="19" spans="1:3" x14ac:dyDescent="0.25">
      <c r="A19" s="4" t="s">
        <v>22</v>
      </c>
      <c r="B19" s="5">
        <v>64200</v>
      </c>
      <c r="C19" s="5">
        <v>576000</v>
      </c>
    </row>
    <row r="20" spans="1:3" x14ac:dyDescent="0.25">
      <c r="A20" s="3" t="s">
        <v>39</v>
      </c>
      <c r="B20" s="5">
        <v>95500</v>
      </c>
      <c r="C20" s="5">
        <v>880000</v>
      </c>
    </row>
    <row r="21" spans="1:3" x14ac:dyDescent="0.25">
      <c r="A21" s="4" t="s">
        <v>38</v>
      </c>
      <c r="B21" s="5">
        <v>95500</v>
      </c>
      <c r="C21" s="5">
        <v>880000</v>
      </c>
    </row>
    <row r="22" spans="1:3" x14ac:dyDescent="0.25">
      <c r="A22" s="3" t="s">
        <v>77</v>
      </c>
      <c r="B22" s="5">
        <v>937200</v>
      </c>
      <c r="C22" s="5">
        <v>7800000</v>
      </c>
    </row>
  </sheetData>
  <mergeCells count="2">
    <mergeCell ref="U4:Z4"/>
    <mergeCell ref="U7:Z16"/>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E9D115-B185-4E47-B810-51E44DC255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Dealers</vt:lpstr>
      <vt:lpstr>Models</vt:lpstr>
      <vt:lpstr>Sales</vt:lpstr>
      <vt:lpstr>Number1</vt:lpstr>
      <vt:lpstr>Number 2</vt:lpstr>
      <vt:lpstr>Number 3</vt:lpstr>
      <vt:lpstr>Number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Tarcisio Filho</dc:creator>
  <cp:lastModifiedBy>Francis Micku Estilong Lamsin</cp:lastModifiedBy>
  <dcterms:created xsi:type="dcterms:W3CDTF">2023-03-11T22:25:44Z</dcterms:created>
  <dcterms:modified xsi:type="dcterms:W3CDTF">2025-02-06T05:48:02Z</dcterms:modified>
</cp:coreProperties>
</file>